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01_Cover" sheetId="1" state="visible" r:id="rId3"/>
    <sheet name="02_Historicals" sheetId="2" state="visible" r:id="rId4"/>
    <sheet name="03_Drivers" sheetId="3" state="visible" r:id="rId5"/>
    <sheet name="04_Income_Statement" sheetId="4" state="visible" r:id="rId6"/>
    <sheet name="05_Balance_Sheet" sheetId="5" state="visible" r:id="rId7"/>
    <sheet name="06_Cash_Flow" sheetId="6" state="visible" r:id="rId8"/>
    <sheet name="07_Schedules" sheetId="7" state="visible" r:id="rId9"/>
    <sheet name="08_DCF" sheetId="8" state="visible" r:id="rId10"/>
    <sheet name="09_Sensitivity" sheetId="9" state="visible" r:id="rId11"/>
    <sheet name="10_Checks" sheetId="10" state="visible" r:id="rId12"/>
    <sheet name="11_Sources" sheetId="11" state="visible" r:id="rId13"/>
    <sheet name="Mini_Mode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E11" authorId="0">
      <text>
        <r>
          <rPr>
            <sz val="10"/>
            <rFont val="Arial"/>
            <family val="2"/>
          </rPr>
          <t xml:space="preserve">Consolidated revenue forecast uses India grey-cement volume and blended realisation as operating proxies, anchored to FY26 consolidated revenue.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-130</xdr:colOff>
                <xdr:row>3</xdr:row>
                <xdr:rowOff>2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E8" authorId="0">
      <text>
        <r>
          <rPr>
            <sz val="10"/>
            <rFont val="Arial"/>
            <family val="2"/>
          </rPr>
          <t xml:space="preserve">Simplified D&amp;A assumption: 6% of opening net PP&amp;E. This is a modelling convention, not an asset-register reconstruction.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-130</xdr:colOff>
                <xdr:row>3</xdr:row>
                <xdr:rowOff>2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14" authorId="0">
      <text>
        <r>
          <rPr>
            <sz val="10"/>
            <rFont val="Arial"/>
            <family val="2"/>
          </rPr>
          <t xml:space="preserve">S08: India 10-year government bond yield used as risk-free rate; 7.02% on 11-Sep-2026.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S10: Damodaran India Equity Risk Premium, January 2026 dataset; 7.08%.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S11: UltraTech Cement 1-year beta; 1.22.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S10: Market capitalisation used for WACC capital weights; ₹324,029.22 crore as of 11-Sep-2026.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FY26 actual total debt from 07_Schedules!D14.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FY26 actual cash from 05_Balance_Sheet!D10.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-63</xdr:colOff>
                <xdr:row>3</xdr:row>
                <xdr:rowOff>2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H11" authorId="0">
      <text>
        <r>
          <rPr>
            <sz val="10"/>
            <rFont val="Arial"/>
            <family val="2"/>
          </rPr>
          <t xml:space="preserve">Mechanical QA status. Historical cash-flow check is intentionally blank because historical CFS was not reconstructed in v1.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-130</xdr:colOff>
                <xdr:row>3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<sst xmlns="http://schemas.openxmlformats.org/spreadsheetml/2006/main" count="489" uniqueCount="334">
  <si>
    <t xml:space="preserve">UltraTech Cement — Company Financial Model</t>
  </si>
  <si>
    <t xml:space="preserve">Company</t>
  </si>
  <si>
    <t xml:space="preserve">UltraTech Cement Limited</t>
  </si>
  <si>
    <t xml:space="preserve">Model Type</t>
  </si>
  <si>
    <t xml:space="preserve">Consolidated</t>
  </si>
  <si>
    <t xml:space="preserve">Historical Period</t>
  </si>
  <si>
    <t xml:space="preserve">FY24A–FY26A</t>
  </si>
  <si>
    <t xml:space="preserve">Forecast Period</t>
  </si>
  <si>
    <t xml:space="preserve">FY27E–FY29E</t>
  </si>
  <si>
    <t xml:space="preserve">Currency</t>
  </si>
  <si>
    <t xml:space="preserve">₹ crore unless otherwise stated</t>
  </si>
  <si>
    <t xml:space="preserve">Purpose</t>
  </si>
  <si>
    <t xml:space="preserve">Company financial modelling, forecasting and DCF valuation</t>
  </si>
  <si>
    <t xml:space="preserve">Primary Sources</t>
  </si>
  <si>
    <t xml:space="preserve">UltraTech Cement annual reports, financial results and investor materials</t>
  </si>
  <si>
    <t xml:space="preserve">Model Date</t>
  </si>
  <si>
    <t xml:space="preserve">Valuation Date</t>
  </si>
  <si>
    <t xml:space="preserve">Forecast</t>
  </si>
  <si>
    <t xml:space="preserve">Base Case DCF</t>
  </si>
  <si>
    <t xml:space="preserve">WACC</t>
  </si>
  <si>
    <t xml:space="preserve">Terminal Growth</t>
  </si>
  <si>
    <t xml:space="preserve">Modeling Convention</t>
  </si>
  <si>
    <t xml:space="preserve">Blue font = hardcoded input / assumption</t>
  </si>
  <si>
    <t xml:space="preserve">Green font = cross-sheet link</t>
  </si>
  <si>
    <t xml:space="preserve">Black font = formula / calculation</t>
  </si>
  <si>
    <t xml:space="preserve">Disclaimer</t>
  </si>
  <si>
    <t xml:space="preserve">Educational / research project only. Not investment advice.</t>
  </si>
  <si>
    <t xml:space="preserve">UltraTech Cement — Historical P&amp;L</t>
  </si>
  <si>
    <t xml:space="preserve">FY24A</t>
  </si>
  <si>
    <t xml:space="preserve">FY25A</t>
  </si>
  <si>
    <t xml:space="preserve">FY26A</t>
  </si>
  <si>
    <t xml:space="preserve">Source / Notes</t>
  </si>
  <si>
    <t xml:space="preserve">Income Statement</t>
  </si>
  <si>
    <t xml:space="preserve">Revenue from Operations</t>
  </si>
  <si>
    <t xml:space="preserve">S03 (FY24/FY25 restated); S04 (FY26)</t>
  </si>
  <si>
    <t xml:space="preserve">Operating EBITDA</t>
  </si>
  <si>
    <t xml:space="preserve">S03/S04; derived from statutory P&amp;L bridge</t>
  </si>
  <si>
    <t xml:space="preserve">Other Income</t>
  </si>
  <si>
    <t xml:space="preserve">S03/S04</t>
  </si>
  <si>
    <t xml:space="preserve">EBITDA</t>
  </si>
  <si>
    <t xml:space="preserve">S03/S04; derived as EBIT + D&amp;A</t>
  </si>
  <si>
    <t xml:space="preserve">Depreciation &amp; Amortisation</t>
  </si>
  <si>
    <t xml:space="preserve">EBIT</t>
  </si>
  <si>
    <t xml:space="preserve">S03/S04; derived from statutory PBT bridge</t>
  </si>
  <si>
    <t xml:space="preserve">Finance Costs</t>
  </si>
  <si>
    <t xml:space="preserve">Exceptional Items</t>
  </si>
  <si>
    <t xml:space="preserve">Share in Profit/(Loss) of Associates &amp; Joint Venture</t>
  </si>
  <si>
    <t xml:space="preserve">Profit Before Tax</t>
  </si>
  <si>
    <t xml:space="preserve">Tax</t>
  </si>
  <si>
    <t xml:space="preserve">PAT attributable to owners</t>
  </si>
  <si>
    <t xml:space="preserve">Profit attributable to NCI</t>
  </si>
  <si>
    <t xml:space="preserve">Note: Historical Balance Sheet detail is maintained in 05_Balance_Sheet; operating drivers are maintained in 03_Drivers. Historical Cash Flow was not reconstructed in v1.</t>
  </si>
  <si>
    <t xml:space="preserve">UltraTech Cement — Operating Drivers</t>
  </si>
  <si>
    <t xml:space="preserve">Metric</t>
  </si>
  <si>
    <t xml:space="preserve">FY27E</t>
  </si>
  <si>
    <t xml:space="preserve">FY28E</t>
  </si>
  <si>
    <t xml:space="preserve">FY29E</t>
  </si>
  <si>
    <t xml:space="preserve">Operating Volume Drivers</t>
  </si>
  <si>
    <t xml:space="preserve"> </t>
  </si>
  <si>
    <t xml:space="preserve">Grey Cement Capacity – India</t>
  </si>
  <si>
    <t xml:space="preserve">S05; FY27E–FY29E are analyst capacity assumptions</t>
  </si>
  <si>
    <t xml:space="preserve">Capacity Utilisation – India</t>
  </si>
  <si>
    <t xml:space="preserve">S05/S06; FY27E–FY29E are analyst utilisation assumptions</t>
  </si>
  <si>
    <t xml:space="preserve">Grey Cement Production – India</t>
  </si>
  <si>
    <t xml:space="preserve">Calculated: capacity × utilisation</t>
  </si>
  <si>
    <t xml:space="preserve">Grey Cement Sales Volume – India</t>
  </si>
  <si>
    <t xml:space="preserve">S05/S06 historical; forecast assumes production = sales volume</t>
  </si>
  <si>
    <t xml:space="preserve">Blended Cement Realisation / Tonne</t>
  </si>
  <si>
    <t xml:space="preserve">S05 historical; forecast assumes 3% p.a. realisation growth</t>
  </si>
  <si>
    <t xml:space="preserve">Historical linked to 02_Historicals; forecast uses volume × realisation growth anchored to FY26 consolidated revenue</t>
  </si>
  <si>
    <t xml:space="preserve">Operating Cost Structure</t>
  </si>
  <si>
    <t xml:space="preserve">Raw Materials Consumed</t>
  </si>
  <si>
    <t xml:space="preserve">S01/S02; historical operating cost inputs</t>
  </si>
  <si>
    <t xml:space="preserve">Purchase of Traded Goods</t>
  </si>
  <si>
    <t xml:space="preserve">Changes in Inventory</t>
  </si>
  <si>
    <t xml:space="preserve">Employee Costs</t>
  </si>
  <si>
    <t xml:space="preserve">Power &amp; Fuel</t>
  </si>
  <si>
    <t xml:space="preserve">Logistics Cost</t>
  </si>
  <si>
    <t xml:space="preserve">Other Expenses</t>
  </si>
  <si>
    <t xml:space="preserve">Total Expenses</t>
  </si>
  <si>
    <t xml:space="preserve">Profitability Metrics</t>
  </si>
  <si>
    <t xml:space="preserve">Historical linked to 02_Historicals; forecast = EBITDA/tonne × sales volume</t>
  </si>
  <si>
    <t xml:space="preserve">Operating EBITDA Margin</t>
  </si>
  <si>
    <t xml:space="preserve">Operating EBITDA / Tonne</t>
  </si>
  <si>
    <t xml:space="preserve">Operating EBITDA / Tonne Growth</t>
  </si>
  <si>
    <t xml:space="preserve">A08; analyst assumption</t>
  </si>
  <si>
    <t xml:space="preserve">UltraTech Cement — Income Statement</t>
  </si>
  <si>
    <t xml:space="preserve">D&amp;A</t>
  </si>
  <si>
    <t xml:space="preserve">Share in Profit/(Loss) of Associates &amp; JV</t>
  </si>
  <si>
    <t xml:space="preserve">UltraTech Cement — Balance Sheet</t>
  </si>
  <si>
    <t xml:space="preserve">Assets</t>
  </si>
  <si>
    <t xml:space="preserve">Property, Plant &amp; Equipment</t>
  </si>
  <si>
    <t xml:space="preserve">Other Non-current Assets</t>
  </si>
  <si>
    <t xml:space="preserve">Trade Receivables</t>
  </si>
  <si>
    <t xml:space="preserve">Inventory</t>
  </si>
  <si>
    <t xml:space="preserve">Cash &amp; Cash Equivalents</t>
  </si>
  <si>
    <t xml:space="preserve">Other Current Assets</t>
  </si>
  <si>
    <t xml:space="preserve">Total Assets</t>
  </si>
  <si>
    <t xml:space="preserve">Liabilities &amp; Equity</t>
  </si>
  <si>
    <t xml:space="preserve">Equity Share Capital</t>
  </si>
  <si>
    <t xml:space="preserve">Other Equity</t>
  </si>
  <si>
    <t xml:space="preserve">Non-controlling Interests</t>
  </si>
  <si>
    <t xml:space="preserve">Non-current Borrowings</t>
  </si>
  <si>
    <t xml:space="preserve">Current Borrowings</t>
  </si>
  <si>
    <t xml:space="preserve">Trade Payables</t>
  </si>
  <si>
    <t xml:space="preserve">Other Current Liabilities</t>
  </si>
  <si>
    <t xml:space="preserve">Other Non-current Liabilities</t>
  </si>
  <si>
    <t xml:space="preserve">Total Liabilities &amp; Equity</t>
  </si>
  <si>
    <t xml:space="preserve">Balance Check</t>
  </si>
  <si>
    <t xml:space="preserve">UltraTech Cement — Forecast Cash Flow</t>
  </si>
  <si>
    <t xml:space="preserve">Cash Flow from Operations</t>
  </si>
  <si>
    <t xml:space="preserve">Change in Net Working Capital</t>
  </si>
  <si>
    <t xml:space="preserve">Cash Flow from Investing</t>
  </si>
  <si>
    <t xml:space="preserve">Capex</t>
  </si>
  <si>
    <t xml:space="preserve">Cash Flow from Financing</t>
  </si>
  <si>
    <t xml:space="preserve">Debt Raised / (Repaid)</t>
  </si>
  <si>
    <t xml:space="preserve">Dividends Paid</t>
  </si>
  <si>
    <t xml:space="preserve">Net Change in Cash</t>
  </si>
  <si>
    <t xml:space="preserve">Beginning Cash</t>
  </si>
  <si>
    <t xml:space="preserve">Ending Cash</t>
  </si>
  <si>
    <t xml:space="preserve">UltraTech Cement — Supporting Schedules</t>
  </si>
  <si>
    <t xml:space="preserve">PP&amp;E / Capex Schedule</t>
  </si>
  <si>
    <t xml:space="preserve">Opening Net PP&amp;E</t>
  </si>
  <si>
    <t xml:space="preserve">Closing Net PP&amp;E</t>
  </si>
  <si>
    <t xml:space="preserve">Debt &amp; Interest Schedule</t>
  </si>
  <si>
    <t xml:space="preserve">Opening Debt</t>
  </si>
  <si>
    <t xml:space="preserve">Closing Debt</t>
  </si>
  <si>
    <t xml:space="preserve">Average Debt</t>
  </si>
  <si>
    <t xml:space="preserve">Interest Rate</t>
  </si>
  <si>
    <t xml:space="preserve">Working Capital Schedule</t>
  </si>
  <si>
    <t xml:space="preserve">Revenue</t>
  </si>
  <si>
    <t xml:space="preserve">Operating Costs</t>
  </si>
  <si>
    <t xml:space="preserve">Net Working Capital</t>
  </si>
  <si>
    <t xml:space="preserve">Change in NWC</t>
  </si>
  <si>
    <t xml:space="preserve">UltraTech Cement — DCF Valuation</t>
  </si>
  <si>
    <t xml:space="preserve">Tax Rate</t>
  </si>
  <si>
    <t xml:space="preserve">NOPAT</t>
  </si>
  <si>
    <t xml:space="preserve">FCFF</t>
  </si>
  <si>
    <t xml:space="preserve">WACC Assumptions</t>
  </si>
  <si>
    <t xml:space="preserve">Capital Structure Inputs</t>
  </si>
  <si>
    <t xml:space="preserve">Risk-free Rate</t>
  </si>
  <si>
    <t xml:space="preserve">Market Capitalisation</t>
  </si>
  <si>
    <t xml:space="preserve">Equity Risk Premium</t>
  </si>
  <si>
    <t xml:space="preserve">Total Debt</t>
  </si>
  <si>
    <t xml:space="preserve">Beta</t>
  </si>
  <si>
    <t xml:space="preserve">Cash</t>
  </si>
  <si>
    <t xml:space="preserve">Cost of Equity</t>
  </si>
  <si>
    <t xml:space="preserve">Net Debt</t>
  </si>
  <si>
    <t xml:space="preserve">Pre-tax Cost of Debt</t>
  </si>
  <si>
    <t xml:space="preserve">After-tax Cost of Debt</t>
  </si>
  <si>
    <t xml:space="preserve">Equity Weight</t>
  </si>
  <si>
    <t xml:space="preserve">Debt Weight</t>
  </si>
  <si>
    <t xml:space="preserve">Terminal Value</t>
  </si>
  <si>
    <t xml:space="preserve">Terminal Growth Rate</t>
  </si>
  <si>
    <t xml:space="preserve">FY29E FCFF</t>
  </si>
  <si>
    <t xml:space="preserve">DCF Valuation</t>
  </si>
  <si>
    <t xml:space="preserve">PV of FY27E FCFF</t>
  </si>
  <si>
    <t xml:space="preserve">PV of FY28E FCFF</t>
  </si>
  <si>
    <t xml:space="preserve">PV of FY29E FCFF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</si>
  <si>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</si>
  <si>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</si>
  <si>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</si>
  <si>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</si>
  <si>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Shares Outstanding</t>
  </si>
  <si>
    <t xml:space="preserve">Implied Value / Share</t>
  </si>
  <si>
    <t xml:space="preserve">UltraTech Cement — DCF Sensitivity</t>
  </si>
  <si>
    <t xml:space="preserve">Terminal Growth →</t>
  </si>
  <si>
    <t xml:space="preserve">WACC ↓</t>
  </si>
  <si>
    <t xml:space="preserve">UltraTech Cement — Model Checks</t>
  </si>
  <si>
    <t xml:space="preserve">Check</t>
  </si>
  <si>
    <t xml:space="preserve">Balance Sheet Check</t>
  </si>
  <si>
    <t xml:space="preserve">Cash Flow Check</t>
  </si>
  <si>
    <t xml:space="preserve">PP&amp;E Schedule Check</t>
  </si>
  <si>
    <t xml:space="preserve">Debt Schedule Check</t>
  </si>
  <si>
    <t xml:space="preserve">Working Capital Check</t>
  </si>
  <si>
    <t xml:space="preserve">Overall Model Status</t>
  </si>
  <si>
    <t xml:space="preserve">Reasonableness Checks</t>
  </si>
  <si>
    <t xml:space="preserve">FY27E Revenue Growth</t>
  </si>
  <si>
    <t xml:space="preserve">FY29E EBITDA Margin</t>
  </si>
  <si>
    <t xml:space="preserve">FY29E Capex / Revenue</t>
  </si>
  <si>
    <t xml:space="preserve">FY29E Debt / EBITDA</t>
  </si>
  <si>
    <t xml:space="preserve">PV of Terminal Value / Enterprise Value</t>
  </si>
  <si>
    <t xml:space="preserve">UltraTech Cement — Sources &amp; Assumptions</t>
  </si>
  <si>
    <t xml:space="preserve">Category</t>
  </si>
  <si>
    <t xml:space="preserve">Source / Document</t>
  </si>
  <si>
    <t xml:space="preserve">Period</t>
  </si>
  <si>
    <t xml:space="preserve">Data Used</t>
  </si>
  <si>
    <t xml:space="preserve">Source Type</t>
  </si>
  <si>
    <t xml:space="preserve">URL / Reference</t>
  </si>
  <si>
    <t xml:space="preserve">Notes</t>
  </si>
  <si>
    <t xml:space="preserve">S01</t>
  </si>
  <si>
    <t xml:space="preserve">Financials</t>
  </si>
  <si>
    <t xml:space="preserve">UltraTech FY26 Integrated &amp; Sustainability Report</t>
  </si>
  <si>
    <t xml:space="preserve">FY26</t>
  </si>
  <si>
    <t xml:space="preserve">Consolidated P&amp;L, BS, debt, PP&amp;E</t>
  </si>
  <si>
    <t xml:space="preserve">Company filing</t>
  </si>
  <si>
    <t xml:space="preserve">Open source</t>
  </si>
  <si>
    <t xml:space="preserve">S02</t>
  </si>
  <si>
    <t xml:space="preserve">UltraTech FY25 Integrated &amp; Sustainability Report</t>
  </si>
  <si>
    <t xml:space="preserve">FY25</t>
  </si>
  <si>
    <t xml:space="preserve">Consolidated P&amp;L, BS, CFS</t>
  </si>
  <si>
    <t xml:space="preserve">S03</t>
  </si>
  <si>
    <t xml:space="preserve">UltraTech FY25 Results</t>
  </si>
  <si>
    <t xml:space="preserve">FY24/FY25</t>
  </si>
  <si>
    <t xml:space="preserve">P&amp;L, restatement context</t>
  </si>
  <si>
    <t xml:space="preserve">Company disclosure</t>
  </si>
  <si>
    <t xml:space="preserve">S04</t>
  </si>
  <si>
    <t xml:space="preserve">UltraTech FY26 Results</t>
  </si>
  <si>
    <t xml:space="preserve">P&amp;L, operating metrics, capacity</t>
  </si>
  <si>
    <t xml:space="preserve">S05</t>
  </si>
  <si>
    <t xml:space="preserve">Operations</t>
  </si>
  <si>
    <t xml:space="preserve">UltraTech FY26 Investor Presentation</t>
  </si>
  <si>
    <t xml:space="preserve">Capacity, utilisation, volumes, EBITDA/tonne, capex</t>
  </si>
  <si>
    <t xml:space="preserve">Investor material</t>
  </si>
  <si>
    <t xml:space="preserve">S06</t>
  </si>
  <si>
    <t xml:space="preserve">UltraTech Q1 FY27 Results</t>
  </si>
  <si>
    <t xml:space="preserve">Q1 FY27</t>
  </si>
  <si>
    <t xml:space="preserve">Current volume/utilisation/operating context</t>
  </si>
  <si>
    <t xml:space="preserve">S07</t>
  </si>
  <si>
    <t xml:space="preserve">UltraTech FY26 Earnings Call</t>
  </si>
  <si>
    <t xml:space="preserve">Expansion, capex, growth assumptions</t>
  </si>
  <si>
    <t xml:space="preserve">S08</t>
  </si>
  <si>
    <t xml:space="preserve">India 10-Year Government Bond Yield</t>
  </si>
  <si>
    <t xml:space="preserve">Risk-free rate = 7.02% on 11-Sep-2026</t>
  </si>
  <si>
    <t xml:space="preserve">Market data</t>
  </si>
  <si>
    <t xml:space="preserve">S09</t>
  </si>
  <si>
    <t xml:space="preserve">Damodaran Country Risk Premium Dataset</t>
  </si>
  <si>
    <t xml:space="preserve">India Equity Risk Premium = 7.08% (Jan-2026 dataset)</t>
  </si>
  <si>
    <t xml:space="preserve">External valuation data</t>
  </si>
  <si>
    <t xml:space="preserve">S10</t>
  </si>
  <si>
    <t xml:space="preserve">Market data / company equity information</t>
  </si>
  <si>
    <t xml:space="preserve">Market capitalisation used for WACC capital weights</t>
  </si>
  <si>
    <t xml:space="preserve">S11</t>
  </si>
  <si>
    <t xml:space="preserve">UltraTech Cement Beta (1-year)</t>
  </si>
  <si>
    <t xml:space="preserve">Beta = 1.22</t>
  </si>
  <si>
    <t xml:space="preserve">Beta used in CAPM; provider methodology may differ from other vendors.</t>
  </si>
  <si>
    <t xml:space="preserve">ID</t>
  </si>
  <si>
    <t xml:space="preserve">Assumption</t>
  </si>
  <si>
    <t xml:space="preserve">Value</t>
  </si>
  <si>
    <t xml:space="preserve">Classification</t>
  </si>
  <si>
    <t xml:space="preserve">A01</t>
  </si>
  <si>
    <t xml:space="preserve">FY27E capacity</t>
  </si>
  <si>
    <t xml:space="preserve">210 MTPA</t>
  </si>
  <si>
    <t xml:space="preserve">Analyst assumption</t>
  </si>
  <si>
    <t xml:space="preserve">A02</t>
  </si>
  <si>
    <t xml:space="preserve">FY28E capacity</t>
  </si>
  <si>
    <t xml:space="preserve">225 MTPA</t>
  </si>
  <si>
    <t xml:space="preserve">A03</t>
  </si>
  <si>
    <t xml:space="preserve">FY29E capacity</t>
  </si>
  <si>
    <t xml:space="preserve">240 MTPA</t>
  </si>
  <si>
    <t xml:space="preserve">A04</t>
  </si>
  <si>
    <t xml:space="preserve">FY27E utilisation</t>
  </si>
  <si>
    <t xml:space="preserve">A05</t>
  </si>
  <si>
    <t xml:space="preserve">FY28E utilisation</t>
  </si>
  <si>
    <t xml:space="preserve">A06</t>
  </si>
  <si>
    <t xml:space="preserve">FY29E utilisation</t>
  </si>
  <si>
    <t xml:space="preserve">A07</t>
  </si>
  <si>
    <t xml:space="preserve">Realisation growth</t>
  </si>
  <si>
    <t xml:space="preserve">3% p.a.</t>
  </si>
  <si>
    <t xml:space="preserve">A08</t>
  </si>
  <si>
    <t xml:space="preserve">EBITDA/tonne growth</t>
  </si>
  <si>
    <t xml:space="preserve">A09</t>
  </si>
  <si>
    <t xml:space="preserve">Other income / revenue</t>
  </si>
  <si>
    <t xml:space="preserve">A10</t>
  </si>
  <si>
    <t xml:space="preserve">D&amp;A rate on opening PP&amp;E</t>
  </si>
  <si>
    <t xml:space="preserve">Modelling assumption</t>
  </si>
  <si>
    <t xml:space="preserve">A11</t>
  </si>
  <si>
    <t xml:space="preserve">Annual capex</t>
  </si>
  <si>
    <t xml:space="preserve">₹10,000 cr</t>
  </si>
  <si>
    <t xml:space="preserve">A12</t>
  </si>
  <si>
    <t xml:space="preserve">Debt raised annually</t>
  </si>
  <si>
    <t xml:space="preserve">₹2,000 cr</t>
  </si>
  <si>
    <t xml:space="preserve">A13</t>
  </si>
  <si>
    <t xml:space="preserve">Cost of debt</t>
  </si>
  <si>
    <t xml:space="preserve">A14</t>
  </si>
  <si>
    <t xml:space="preserve">Tax rate</t>
  </si>
  <si>
    <t xml:space="preserve">A15</t>
  </si>
  <si>
    <t xml:space="preserve">AR / Revenue</t>
  </si>
  <si>
    <t xml:space="preserve">A16</t>
  </si>
  <si>
    <t xml:space="preserve">Inventory / Operating Cost</t>
  </si>
  <si>
    <t xml:space="preserve">A17</t>
  </si>
  <si>
    <t xml:space="preserve">AP / Operating Cost</t>
  </si>
  <si>
    <t xml:space="preserve">A18</t>
  </si>
  <si>
    <t xml:space="preserve">Dividend payout</t>
  </si>
  <si>
    <t xml:space="preserve">A19</t>
  </si>
  <si>
    <t xml:space="preserve">Terminal growth</t>
  </si>
  <si>
    <t xml:space="preserve">DCF assumption</t>
  </si>
  <si>
    <t xml:space="preserve">A20</t>
  </si>
  <si>
    <t xml:space="preserve">Market assumption; S11</t>
  </si>
  <si>
    <t xml:space="preserve">A21</t>
  </si>
  <si>
    <t xml:space="preserve">Equity risk premium</t>
  </si>
  <si>
    <t xml:space="preserve">External market data; S10</t>
  </si>
  <si>
    <t xml:space="preserve">A22</t>
  </si>
  <si>
    <t xml:space="preserve">Risk-free rate</t>
  </si>
  <si>
    <t xml:space="preserve">Market data; S08</t>
  </si>
  <si>
    <t xml:space="preserve">Model Limitations</t>
  </si>
  <si>
    <t xml:space="preserve">1. Consolidated revenue is forecast using India grey-cement volume and realisation as operating proxies, rather than a full segment-by-segment revenue build.</t>
  </si>
  <si>
    <t xml:space="preserve">2. Capacity assumptions are modelled assumptions, not precise company guidance for each fiscal year.</t>
  </si>
  <si>
    <t xml:space="preserve">3. D&amp;A is forecast using a simplified percentage of opening net PP&amp;E, rather than an asset-level depreciation schedule.</t>
  </si>
  <si>
    <t xml:space="preserve">4. Capex is normalised at ₹10,000 crore annually rather than modelled project-by-project.</t>
  </si>
  <si>
    <t xml:space="preserve">5. Debt is increased by ₹2,000 crore annually as a modelling assumption rather than based on a detailed financing plan.</t>
  </si>
  <si>
    <t xml:space="preserve">6. Working capital is forecast using percentage-of-revenue/cost assumptions rather than detailed DSO/DIO/DPO schedules.</t>
  </si>
  <si>
    <t xml:space="preserve">7. Terminal value contributes a significant portion of DCF enterprise value, making the valuation sensitive to WACC and terminal growth.</t>
  </si>
  <si>
    <t xml:space="preserve">8. Historical Balance Sheet differences of approximately ₹3–4 crore are retained because of grouping/rounding in the reconstructed historical statements and are within the model's QA tolerance.</t>
  </si>
  <si>
    <t xml:space="preserve">9. WACC uses point-in-time market inputs (risk-free rate, beta and market capitalisation); these inputs can change over time.</t>
  </si>
  <si>
    <t xml:space="preserve">Mini Company Financial Model</t>
  </si>
  <si>
    <t xml:space="preserve">2025A</t>
  </si>
  <si>
    <t xml:space="preserve">Growth / Assumption</t>
  </si>
  <si>
    <t xml:space="preserve">2026E</t>
  </si>
  <si>
    <t xml:space="preserve">Operating Assumptions</t>
  </si>
  <si>
    <t xml:space="preserve">Volume (units)</t>
  </si>
  <si>
    <t xml:space="preserve">Price / unit (₹)</t>
  </si>
  <si>
    <t xml:space="preserve">Variable cost / unit (₹)</t>
  </si>
  <si>
    <t xml:space="preserve">Fixed operating costs (₹)</t>
  </si>
  <si>
    <t xml:space="preserve">D&amp;A (₹)</t>
  </si>
  <si>
    <t xml:space="preserve">Interest expense (₹)</t>
  </si>
  <si>
    <t xml:space="preserve">Variable Costs</t>
  </si>
  <si>
    <t xml:space="preserve">Fixed Operating Costs</t>
  </si>
  <si>
    <t xml:space="preserve">Interest Expense</t>
  </si>
  <si>
    <t xml:space="preserve">PBT</t>
  </si>
  <si>
    <t xml:space="preserve">Net Income</t>
  </si>
  <si>
    <t xml:space="preserve">Working Capital</t>
  </si>
  <si>
    <t xml:space="preserve">Accounts Receivable</t>
  </si>
  <si>
    <t xml:space="preserve">Accounts Payable</t>
  </si>
  <si>
    <t xml:space="preserve">Cash Flow Statement</t>
  </si>
  <si>
    <t xml:space="preserve">Cash Flow from Operations (CFO)</t>
  </si>
  <si>
    <t xml:space="preserve">Cash Flow from Investing (CFI)</t>
  </si>
  <si>
    <t xml:space="preserve">Debt Raised</t>
  </si>
  <si>
    <t xml:space="preserve">Cash Flow from Financing (CFF)</t>
  </si>
  <si>
    <t xml:space="preserve">Balance Sheet</t>
  </si>
  <si>
    <t xml:space="preserve">Net PP&amp;E</t>
  </si>
  <si>
    <t xml:space="preserve">Debt</t>
  </si>
  <si>
    <t xml:space="preserve">Share Capital</t>
  </si>
  <si>
    <t xml:space="preserve">Retained Earnings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</si>
</sst>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mmm\-yy"/>
    <numFmt numFmtId="166" formatCode="d\ mmmm&quot;, &quot;yyyy"/>
    <numFmt numFmtId="167" formatCode="\₹#,##0"/>
    <numFmt numFmtId="168" formatCode="0.0%"/>
    <numFmt numFmtId="169" formatCode="#,##0.0;\(#,##0.0\);\-"/>
    <numFmt numFmtId="170" formatCode="0.0"/>
    <numFmt numFmtId="171" formatCode="0%"/>
    <numFmt numFmtId="172" formatCode="#,##0"/>
    <numFmt numFmtId="173" formatCode="0.00%"/>
    <numFmt numFmtId="174" formatCode="#,##0.0"/>
    <numFmt numFmtId="175" formatCode="0.00"/>
    <numFmt numFmtId="176" formatCode="_(* #,##0.00_);_(* \(#,##0.00\);_(* \-??_);_(@_)"/>
    <numFmt numFmtId="177" formatCode="0.000"/>
    <numFmt numFmtId="178" formatCode="_-* #,##0.00_-;\-* #,##0.00_-;_-* \-??_-;_-@_-"/>
    <numFmt numFmtId="179" formatCode="#,##0.00;\(#,##0.00\);\-"/>
    <numFmt numFmtId="180" formatCode="0.00\x"/>
    <numFmt numFmtId="181" formatCode="d\-mmm\-yyyy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ptos Display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rgb="FF008000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i val="true"/>
      <sz val="9"/>
      <color rgb="FF666666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008000"/>
      <name val="Aptos"/>
      <family val="0"/>
      <charset val="1"/>
    </font>
    <font>
      <sz val="10"/>
      <name val="Arial"/>
      <family val="2"/>
    </font>
    <font>
      <b val="true"/>
      <sz val="11"/>
      <color rgb="FF000000"/>
      <name val="Aptos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0"/>
      <color rgb="FF548235"/>
      <name val="Aptos"/>
      <family val="0"/>
      <charset val="1"/>
    </font>
    <font>
      <u val="single"/>
      <sz val="10"/>
      <color rgb="FF0563C1"/>
      <name val="Aptos"/>
      <family val="0"/>
      <charset val="1"/>
    </font>
    <font>
      <sz val="12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E7E6E6"/>
      </patternFill>
    </fill>
    <fill>
      <patternFill patternType="solid">
        <fgColor rgb="FFD9EAF7"/>
        <bgColor rgb="FFE7E6E6"/>
      </patternFill>
    </fill>
    <fill>
      <patternFill patternType="solid">
        <fgColor rgb="FF7F8C8D"/>
        <bgColor rgb="FF969696"/>
      </patternFill>
    </fill>
    <fill>
      <patternFill patternType="solid">
        <fgColor rgb="FFF2F2F2"/>
        <bgColor rgb="FFEAF3F8"/>
      </patternFill>
    </fill>
    <fill>
      <patternFill patternType="solid">
        <fgColor rgb="FFEAF3F8"/>
        <bgColor rgb="FFF2F2F2"/>
      </patternFill>
    </fill>
    <fill>
      <patternFill patternType="solid">
        <fgColor rgb="FFE7E6E6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8"/>
      </bottom>
      <diagonal/>
    </border>
    <border diagonalUp="false" diagonalDown="false">
      <left/>
      <right/>
      <top style="medium">
        <color rgb="FF1F4E78"/>
      </top>
      <bottom style="medium">
        <color rgb="FF1F4E78"/>
      </bottom>
      <diagonal/>
    </border>
    <border diagonalUp="false" diagonalDown="false">
      <left/>
      <right/>
      <top style="thin">
        <color rgb="FFB4C7E7"/>
      </top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6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7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7F8C8D"/>
      <rgbColor rgb="FF9999FF"/>
      <rgbColor rgb="FF993366"/>
      <rgbColor rgb="FFF2F2F2"/>
      <rgbColor rgb="FFD9EAF7"/>
      <rgbColor rgb="FF660066"/>
      <rgbColor rgb="FFFF8080"/>
      <rgbColor rgb="FF0563C1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6788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ultratechcement.com/corporate/investors-/financials-" TargetMode="External"/><Relationship Id="rId2" Type="http://schemas.openxmlformats.org/officeDocument/2006/relationships/hyperlink" Target="https://www.ultratechcement.com/content/dam/ultratechcementwebsite/pdf/financials/annual-reports/integrated-and-sustainability-report-2024-25-single-page-view.pdf" TargetMode="External"/><Relationship Id="rId3" Type="http://schemas.openxmlformats.org/officeDocument/2006/relationships/hyperlink" Target="https://www.ultratechcement.com/content/dam/ultratechcementwebsite/pdf/stock-exchange-communication/outcome-of-bm-28-04-2025.pdf" TargetMode="External"/><Relationship Id="rId4" Type="http://schemas.openxmlformats.org/officeDocument/2006/relationships/hyperlink" Target="https://www.ultratechcement.com/corporate/media/press-releases/financial-results-q4fy26" TargetMode="External"/><Relationship Id="rId5" Type="http://schemas.openxmlformats.org/officeDocument/2006/relationships/hyperlink" Target="https://www.ultratechcement.com/content/dam/ultratechcementwebsite/pdf/financials/investor-update/q4fy26-investor-presentation.pdf" TargetMode="External"/><Relationship Id="rId6" Type="http://schemas.openxmlformats.org/officeDocument/2006/relationships/hyperlink" Target="https://www.ultratechcement.com/corporate/media/press-releases/financial-results-q1fy27" TargetMode="External"/><Relationship Id="rId7" Type="http://schemas.openxmlformats.org/officeDocument/2006/relationships/hyperlink" Target="https://www.ultratechcement.com/content/dam/ultratechcementwebsite/pdf/financials/earnings-call/ultratech-cement-limited-earnings-call-transcript-q4fy26.pdf" TargetMode="External"/><Relationship Id="rId8" Type="http://schemas.openxmlformats.org/officeDocument/2006/relationships/hyperlink" Target="https://www.investing.com/rates-bonds/india-10-year-bond-yield-historical-data" TargetMode="External"/><Relationship Id="rId9" Type="http://schemas.openxmlformats.org/officeDocument/2006/relationships/hyperlink" Target="https://pages.stern.nyu.edu/adamodar/New_Home_Page/datafile/ctryprem.html" TargetMode="External"/><Relationship Id="rId10" Type="http://schemas.openxmlformats.org/officeDocument/2006/relationships/hyperlink" Target="https://www.livemint.com/market/market-stats/stocks-ultratech-cement-share-price-nse-bse-s0003075" TargetMode="External"/><Relationship Id="rId11" Type="http://schemas.openxmlformats.org/officeDocument/2006/relationships/hyperlink" Target="https://www.itisbl.com/Market/CorporateInformation/Company-Snapshot/ultratech_cem_/249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7" min="3" style="1" width="14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4" customFormat="false" ht="15" hidden="false" customHeight="false" outlineLevel="0" collapsed="false">
      <c r="A14" s="3" t="s">
        <v>15</v>
      </c>
      <c r="B14" s="5" t="n">
        <v>46266</v>
      </c>
    </row>
    <row r="16" customFormat="false" ht="15" hidden="false" customHeight="false" outlineLevel="0" collapsed="false">
      <c r="A16" s="3" t="s">
        <v>16</v>
      </c>
      <c r="B16" s="6" t="n">
        <v>46276</v>
      </c>
    </row>
    <row r="18" customFormat="false" ht="15" hidden="false" customHeight="false" outlineLevel="0" collapsed="false">
      <c r="A18" s="3" t="s">
        <v>17</v>
      </c>
      <c r="B18" s="4" t="s">
        <v>8</v>
      </c>
    </row>
    <row r="20" customFormat="false" ht="15" hidden="false" customHeight="false" outlineLevel="0" collapsed="false">
      <c r="A20" s="3" t="s">
        <v>18</v>
      </c>
      <c r="B20" s="7" t="n">
        <f aca="false">08_DCF!B39</f>
        <v>1816.84815803634</v>
      </c>
    </row>
    <row r="22" customFormat="false" ht="15" hidden="false" customHeight="false" outlineLevel="0" collapsed="false">
      <c r="A22" s="3" t="s">
        <v>19</v>
      </c>
      <c r="B22" s="8" t="n">
        <f aca="false">08_DCF!B23</f>
        <v>0.149985944824531</v>
      </c>
    </row>
    <row r="24" customFormat="false" ht="15" hidden="false" customHeight="false" outlineLevel="0" collapsed="false">
      <c r="A24" s="3" t="s">
        <v>20</v>
      </c>
      <c r="B24" s="8" t="n">
        <f aca="false">08_DCF!B26</f>
        <v>0.03</v>
      </c>
    </row>
    <row r="27" customFormat="false" ht="15" hidden="false" customHeight="false" outlineLevel="0" collapsed="false">
      <c r="A27" s="9" t="s">
        <v>21</v>
      </c>
      <c r="B27" s="9"/>
    </row>
    <row r="28" customFormat="false" ht="28.35" hidden="false" customHeight="false" outlineLevel="0" collapsed="false">
      <c r="A28" s="10" t="s">
        <v>22</v>
      </c>
    </row>
    <row r="29" customFormat="false" ht="15" hidden="false" customHeight="false" outlineLevel="0" collapsed="false">
      <c r="A29" s="10" t="s">
        <v>23</v>
      </c>
    </row>
    <row r="30" customFormat="false" ht="15" hidden="false" customHeight="false" outlineLevel="0" collapsed="false">
      <c r="A30" s="10" t="s">
        <v>24</v>
      </c>
    </row>
    <row r="32" customFormat="false" ht="15" hidden="false" customHeight="false" outlineLevel="0" collapsed="false">
      <c r="A32" s="9" t="s">
        <v>25</v>
      </c>
      <c r="B32" s="9"/>
    </row>
    <row r="33" customFormat="false" ht="15" hidden="false" customHeight="true" outlineLevel="0" collapsed="false">
      <c r="A33" s="11" t="s">
        <v>26</v>
      </c>
      <c r="B33" s="11"/>
      <c r="C33" s="11"/>
      <c r="D33" s="11"/>
      <c r="E33" s="11"/>
      <c r="F33" s="11"/>
      <c r="G33" s="11"/>
    </row>
  </sheetData>
  <mergeCells count="4">
    <mergeCell ref="A1:G1"/>
    <mergeCell ref="A27:B27"/>
    <mergeCell ref="A32:B32"/>
    <mergeCell ref="A33:G33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0" activeCellId="0" sqref="B4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4"/>
    <col collapsed="false" customWidth="true" hidden="false" outlineLevel="0" max="5" min="5" style="1" width="42"/>
  </cols>
  <sheetData>
    <row r="1" customFormat="false" ht="24.7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28</v>
      </c>
      <c r="C3" s="12" t="s">
        <v>29</v>
      </c>
      <c r="D3" s="12" t="s">
        <v>30</v>
      </c>
      <c r="E3" s="13" t="s">
        <v>31</v>
      </c>
    </row>
    <row r="5" customFormat="false" ht="19.5" hidden="false" customHeight="true" outlineLevel="0" collapsed="false">
      <c r="A5" s="14" t="s">
        <v>32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4" t="s">
        <v>33</v>
      </c>
      <c r="B6" s="16" t="n">
        <v>70908.14</v>
      </c>
      <c r="C6" s="16" t="n">
        <v>75955.13</v>
      </c>
      <c r="D6" s="16" t="n">
        <v>88511.53</v>
      </c>
      <c r="E6" s="17" t="s">
        <v>34</v>
      </c>
    </row>
    <row r="7" customFormat="false" ht="15" hidden="false" customHeight="false" outlineLevel="0" collapsed="false">
      <c r="A7" s="4" t="s">
        <v>35</v>
      </c>
      <c r="B7" s="16" t="n">
        <v>12968.56</v>
      </c>
      <c r="C7" s="17" t="n">
        <f aca="false">C9-C8</f>
        <v>12557.45</v>
      </c>
      <c r="D7" s="17" t="n">
        <f aca="false">D9-D8</f>
        <v>17019.74</v>
      </c>
      <c r="E7" s="17" t="s">
        <v>36</v>
      </c>
    </row>
    <row r="8" customFormat="false" ht="15" hidden="false" customHeight="false" outlineLevel="0" collapsed="false">
      <c r="A8" s="4" t="s">
        <v>37</v>
      </c>
      <c r="B8" s="16" t="n">
        <v>616.95</v>
      </c>
      <c r="C8" s="16" t="n">
        <v>744.17</v>
      </c>
      <c r="D8" s="16" t="n">
        <v>578</v>
      </c>
      <c r="E8" s="17" t="s">
        <v>38</v>
      </c>
    </row>
    <row r="9" customFormat="false" ht="15" hidden="false" customHeight="false" outlineLevel="0" collapsed="false">
      <c r="A9" s="18" t="s">
        <v>39</v>
      </c>
      <c r="B9" s="19" t="n">
        <v>13585.51</v>
      </c>
      <c r="C9" s="20" t="n">
        <f aca="false">C11+C10</f>
        <v>13301.62</v>
      </c>
      <c r="D9" s="20" t="n">
        <f aca="false">D11+D10</f>
        <v>17597.74</v>
      </c>
      <c r="E9" s="20" t="s">
        <v>40</v>
      </c>
    </row>
    <row r="10" customFormat="false" ht="15" hidden="false" customHeight="false" outlineLevel="0" collapsed="false">
      <c r="A10" s="4" t="s">
        <v>41</v>
      </c>
      <c r="B10" s="16" t="n">
        <v>3145.3</v>
      </c>
      <c r="C10" s="16" t="n">
        <v>4014.95</v>
      </c>
      <c r="D10" s="16" t="n">
        <v>4644.46</v>
      </c>
      <c r="E10" s="17" t="s">
        <v>38</v>
      </c>
    </row>
    <row r="11" customFormat="false" ht="15" hidden="false" customHeight="false" outlineLevel="0" collapsed="false">
      <c r="A11" s="18" t="s">
        <v>42</v>
      </c>
      <c r="B11" s="20" t="n">
        <f aca="false">B9-B10</f>
        <v>10440.21</v>
      </c>
      <c r="C11" s="20" t="n">
        <f aca="false">C15+C12+C13-C14</f>
        <v>9286.67</v>
      </c>
      <c r="D11" s="20" t="n">
        <f aca="false">D15+D12+D13-D14</f>
        <v>12953.28</v>
      </c>
      <c r="E11" s="20" t="s">
        <v>43</v>
      </c>
    </row>
    <row r="12" customFormat="false" ht="15" hidden="false" customHeight="false" outlineLevel="0" collapsed="false">
      <c r="A12" s="4" t="s">
        <v>44</v>
      </c>
      <c r="B12" s="16" t="n">
        <v>968</v>
      </c>
      <c r="C12" s="16" t="n">
        <v>1650.54</v>
      </c>
      <c r="D12" s="16" t="n">
        <v>1871.71</v>
      </c>
      <c r="E12" s="17" t="s">
        <v>38</v>
      </c>
    </row>
    <row r="13" customFormat="false" ht="15" hidden="false" customHeight="false" outlineLevel="0" collapsed="false">
      <c r="A13" s="4" t="s">
        <v>45</v>
      </c>
      <c r="B13" s="16" t="n">
        <v>72</v>
      </c>
      <c r="C13" s="16" t="n">
        <v>97.43</v>
      </c>
      <c r="D13" s="16" t="n">
        <v>138.55</v>
      </c>
      <c r="E13" s="17" t="s">
        <v>38</v>
      </c>
    </row>
    <row r="14" customFormat="false" ht="15" hidden="false" customHeight="false" outlineLevel="0" collapsed="false">
      <c r="A14" s="4" t="s">
        <v>46</v>
      </c>
      <c r="B14" s="16" t="n">
        <v>22.01</v>
      </c>
      <c r="C14" s="16" t="n">
        <v>-10.57</v>
      </c>
      <c r="D14" s="16" t="n">
        <v>-15.83</v>
      </c>
      <c r="E14" s="17" t="s">
        <v>38</v>
      </c>
    </row>
    <row r="15" customFormat="false" ht="15" hidden="false" customHeight="false" outlineLevel="0" collapsed="false">
      <c r="A15" s="18" t="s">
        <v>47</v>
      </c>
      <c r="B15" s="19" t="n">
        <v>9422.22</v>
      </c>
      <c r="C15" s="19" t="n">
        <v>7528.13</v>
      </c>
      <c r="D15" s="19" t="n">
        <v>10927.19</v>
      </c>
      <c r="E15" s="20" t="s">
        <v>38</v>
      </c>
    </row>
    <row r="16" customFormat="false" ht="15" hidden="false" customHeight="false" outlineLevel="0" collapsed="false">
      <c r="A16" s="4" t="s">
        <v>48</v>
      </c>
      <c r="B16" s="16" t="n">
        <v>2418.26</v>
      </c>
      <c r="C16" s="16" t="n">
        <v>1488.49</v>
      </c>
      <c r="D16" s="16" t="n">
        <v>2738.84</v>
      </c>
      <c r="E16" s="17" t="s">
        <v>38</v>
      </c>
    </row>
    <row r="17" customFormat="false" ht="15" hidden="false" customHeight="false" outlineLevel="0" collapsed="false">
      <c r="A17" s="18" t="s">
        <v>49</v>
      </c>
      <c r="B17" s="19" t="n">
        <v>7005</v>
      </c>
      <c r="C17" s="19" t="n">
        <v>6039.11</v>
      </c>
      <c r="D17" s="19" t="n">
        <v>8165.64</v>
      </c>
      <c r="E17" s="20" t="s">
        <v>38</v>
      </c>
    </row>
    <row r="18" customFormat="false" ht="15" hidden="false" customHeight="false" outlineLevel="0" collapsed="false">
      <c r="A18" s="4" t="s">
        <v>50</v>
      </c>
      <c r="B18" s="16" t="n">
        <v>-1.04</v>
      </c>
      <c r="C18" s="16" t="n">
        <v>0.53</v>
      </c>
      <c r="D18" s="16" t="n">
        <v>22.17</v>
      </c>
      <c r="E18" s="17" t="s">
        <v>38</v>
      </c>
    </row>
    <row r="20" customFormat="false" ht="36" hidden="false" customHeight="true" outlineLevel="0" collapsed="false">
      <c r="A20" s="21" t="s">
        <v>51</v>
      </c>
      <c r="B20" s="21"/>
      <c r="C20" s="21"/>
      <c r="D20" s="21"/>
      <c r="E20" s="21"/>
    </row>
  </sheetData>
  <mergeCells count="2">
    <mergeCell ref="A1:G1"/>
    <mergeCell ref="A20:E20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19" activeCellId="0" sqref="F1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3"/>
    <col collapsed="false" customWidth="true" hidden="false" outlineLevel="0" max="8" min="8" style="1" width="62"/>
  </cols>
  <sheetData>
    <row r="1" customFormat="false" ht="24.7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12" t="s">
        <v>53</v>
      </c>
      <c r="B3" s="12" t="s">
        <v>28</v>
      </c>
      <c r="C3" s="12" t="s">
        <v>29</v>
      </c>
      <c r="D3" s="12" t="s">
        <v>30</v>
      </c>
      <c r="E3" s="13" t="s">
        <v>54</v>
      </c>
      <c r="F3" s="13" t="s">
        <v>55</v>
      </c>
      <c r="G3" s="13" t="s">
        <v>56</v>
      </c>
      <c r="H3" s="13" t="s">
        <v>31</v>
      </c>
    </row>
    <row r="5" customFormat="false" ht="19.5" hidden="false" customHeight="true" outlineLevel="0" collapsed="false">
      <c r="A5" s="14" t="s">
        <v>57</v>
      </c>
      <c r="B5" s="22" t="s">
        <v>58</v>
      </c>
      <c r="C5" s="15"/>
      <c r="D5" s="15"/>
      <c r="E5" s="15"/>
      <c r="F5" s="15"/>
      <c r="G5" s="15"/>
      <c r="H5" s="15"/>
    </row>
    <row r="6" customFormat="false" ht="15" hidden="false" customHeight="false" outlineLevel="0" collapsed="false">
      <c r="A6" s="4" t="s">
        <v>59</v>
      </c>
      <c r="B6" s="23" t="n">
        <v>140.76</v>
      </c>
      <c r="C6" s="23" t="n">
        <v>183.36</v>
      </c>
      <c r="D6" s="23" t="n">
        <v>191.36</v>
      </c>
      <c r="E6" s="24" t="n">
        <v>210</v>
      </c>
      <c r="F6" s="24" t="n">
        <v>225</v>
      </c>
      <c r="G6" s="24" t="n">
        <v>240</v>
      </c>
      <c r="H6" s="17" t="s">
        <v>60</v>
      </c>
    </row>
    <row r="7" customFormat="false" ht="15" hidden="false" customHeight="false" outlineLevel="0" collapsed="false">
      <c r="A7" s="4" t="s">
        <v>61</v>
      </c>
      <c r="B7" s="25" t="n">
        <v>0.85</v>
      </c>
      <c r="C7" s="25" t="n">
        <v>0.78</v>
      </c>
      <c r="D7" s="25" t="n">
        <v>0.77</v>
      </c>
      <c r="E7" s="26" t="n">
        <v>0.8</v>
      </c>
      <c r="F7" s="26" t="n">
        <v>0.81</v>
      </c>
      <c r="G7" s="26" t="n">
        <v>0.82</v>
      </c>
      <c r="H7" s="4" t="s">
        <v>62</v>
      </c>
    </row>
    <row r="8" customFormat="false" ht="15" hidden="false" customHeight="false" outlineLevel="0" collapsed="false">
      <c r="A8" s="4" t="s">
        <v>63</v>
      </c>
      <c r="B8" s="23" t="n">
        <v>111.63</v>
      </c>
      <c r="C8" s="23" t="n">
        <v>127.44</v>
      </c>
      <c r="D8" s="23" t="n">
        <v>143.83</v>
      </c>
      <c r="E8" s="27" t="n">
        <f aca="false">E6*E7</f>
        <v>168</v>
      </c>
      <c r="F8" s="27" t="n">
        <f aca="false">F6*F7</f>
        <v>182.25</v>
      </c>
      <c r="G8" s="27" t="n">
        <f aca="false">G6*G7</f>
        <v>196.8</v>
      </c>
      <c r="H8" s="17" t="s">
        <v>64</v>
      </c>
    </row>
    <row r="9" customFormat="false" ht="15" hidden="false" customHeight="false" outlineLevel="0" collapsed="false">
      <c r="A9" s="4" t="s">
        <v>65</v>
      </c>
      <c r="B9" s="23" t="n">
        <v>112.81</v>
      </c>
      <c r="C9" s="23" t="n">
        <v>128.32</v>
      </c>
      <c r="D9" s="23" t="n">
        <v>145.52</v>
      </c>
      <c r="E9" s="27" t="n">
        <f aca="false">E8</f>
        <v>168</v>
      </c>
      <c r="F9" s="27" t="n">
        <f aca="false">F8</f>
        <v>182.25</v>
      </c>
      <c r="G9" s="27" t="n">
        <f aca="false">G8</f>
        <v>196.8</v>
      </c>
      <c r="H9" s="17" t="s">
        <v>66</v>
      </c>
    </row>
    <row r="10" customFormat="false" ht="15" hidden="false" customHeight="false" outlineLevel="0" collapsed="false">
      <c r="A10" s="4" t="s">
        <v>67</v>
      </c>
      <c r="B10" s="28" t="n">
        <v>5864</v>
      </c>
      <c r="C10" s="28" t="n">
        <v>4974</v>
      </c>
      <c r="D10" s="28" t="n">
        <v>5047</v>
      </c>
      <c r="E10" s="29" t="n">
        <f aca="false">D10*(1+3%)</f>
        <v>5198.41</v>
      </c>
      <c r="F10" s="29" t="n">
        <f aca="false">E10*(1+3%)</f>
        <v>5354.3623</v>
      </c>
      <c r="G10" s="29" t="n">
        <f aca="false">F10*(1+3%)</f>
        <v>5514.993169</v>
      </c>
      <c r="H10" s="17" t="s">
        <v>68</v>
      </c>
    </row>
    <row r="11" customFormat="false" ht="15" hidden="false" customHeight="false" outlineLevel="0" collapsed="false">
      <c r="A11" s="4" t="s">
        <v>33</v>
      </c>
      <c r="B11" s="30" t="n">
        <f aca="false">02_Historicals!B6</f>
        <v>70908.14</v>
      </c>
      <c r="C11" s="30" t="n">
        <f aca="false">02_Historicals!C6</f>
        <v>75955.13</v>
      </c>
      <c r="D11" s="30" t="n">
        <f aca="false">02_Historicals!D6</f>
        <v>88511.53</v>
      </c>
      <c r="E11" s="29" t="n">
        <f aca="false">D11*(E9/D9)*(E10/D10)</f>
        <v>105250.378993953</v>
      </c>
      <c r="F11" s="29" t="n">
        <f aca="false">E11*(F9/E9)*(F10/E10)</f>
        <v>117603.202492841</v>
      </c>
      <c r="G11" s="29" t="n">
        <f aca="false">F11*(G9/F9)*(G10/F10)</f>
        <v>130801.86314463</v>
      </c>
      <c r="H11" s="17" t="s">
        <v>69</v>
      </c>
    </row>
    <row r="14" customFormat="false" ht="19.5" hidden="false" customHeight="true" outlineLevel="0" collapsed="false">
      <c r="A14" s="14" t="s">
        <v>70</v>
      </c>
      <c r="B14" s="15"/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4" t="s">
        <v>71</v>
      </c>
      <c r="B15" s="28" t="n">
        <v>10252</v>
      </c>
      <c r="C15" s="28" t="n">
        <v>11822</v>
      </c>
      <c r="D15" s="28" t="n">
        <v>14568</v>
      </c>
      <c r="E15" s="31"/>
      <c r="F15" s="31"/>
      <c r="G15" s="31"/>
      <c r="H15" s="17" t="s">
        <v>72</v>
      </c>
    </row>
    <row r="16" customFormat="false" ht="15" hidden="false" customHeight="false" outlineLevel="0" collapsed="false">
      <c r="A16" s="4" t="s">
        <v>73</v>
      </c>
      <c r="B16" s="28" t="n">
        <v>1734</v>
      </c>
      <c r="C16" s="28" t="n">
        <v>1870</v>
      </c>
      <c r="D16" s="28" t="n">
        <v>2517</v>
      </c>
      <c r="E16" s="31"/>
      <c r="F16" s="31"/>
      <c r="G16" s="31"/>
      <c r="H16" s="17" t="s">
        <v>72</v>
      </c>
    </row>
    <row r="17" customFormat="false" ht="15" hidden="false" customHeight="false" outlineLevel="0" collapsed="false">
      <c r="A17" s="4" t="s">
        <v>74</v>
      </c>
      <c r="B17" s="28" t="n">
        <v>-83</v>
      </c>
      <c r="C17" s="28" t="n">
        <v>12</v>
      </c>
      <c r="D17" s="28" t="n">
        <v>103</v>
      </c>
      <c r="E17" s="31"/>
      <c r="F17" s="31"/>
      <c r="G17" s="31"/>
      <c r="H17" s="17" t="s">
        <v>72</v>
      </c>
    </row>
    <row r="18" customFormat="false" ht="15" hidden="false" customHeight="false" outlineLevel="0" collapsed="false">
      <c r="A18" s="4" t="s">
        <v>75</v>
      </c>
      <c r="B18" s="28" t="n">
        <v>3038</v>
      </c>
      <c r="C18" s="28" t="n">
        <v>3605</v>
      </c>
      <c r="D18" s="28" t="n">
        <v>4162</v>
      </c>
      <c r="E18" s="31"/>
      <c r="F18" s="31"/>
      <c r="G18" s="31"/>
      <c r="H18" s="17" t="s">
        <v>72</v>
      </c>
    </row>
    <row r="19" customFormat="false" ht="15" hidden="false" customHeight="false" outlineLevel="0" collapsed="false">
      <c r="A19" s="4" t="s">
        <v>76</v>
      </c>
      <c r="B19" s="28" t="n">
        <v>18283</v>
      </c>
      <c r="C19" s="28" t="n">
        <v>18419</v>
      </c>
      <c r="D19" s="28" t="n">
        <v>19597</v>
      </c>
      <c r="E19" s="31"/>
      <c r="F19" s="31"/>
      <c r="G19" s="31"/>
      <c r="H19" s="17" t="s">
        <v>72</v>
      </c>
    </row>
    <row r="20" customFormat="false" ht="15" hidden="false" customHeight="false" outlineLevel="0" collapsed="false">
      <c r="A20" s="4" t="s">
        <v>77</v>
      </c>
      <c r="B20" s="28" t="n">
        <v>15881</v>
      </c>
      <c r="C20" s="28" t="n">
        <v>17460</v>
      </c>
      <c r="D20" s="28" t="n">
        <v>19169</v>
      </c>
      <c r="E20" s="31"/>
      <c r="F20" s="31"/>
      <c r="G20" s="31"/>
      <c r="H20" s="17" t="s">
        <v>72</v>
      </c>
    </row>
    <row r="21" customFormat="false" ht="15" hidden="false" customHeight="false" outlineLevel="0" collapsed="false">
      <c r="A21" s="4" t="s">
        <v>78</v>
      </c>
      <c r="B21" s="28" t="n">
        <v>8835</v>
      </c>
      <c r="C21" s="28" t="n">
        <v>10210</v>
      </c>
      <c r="D21" s="28" t="n">
        <v>11374</v>
      </c>
      <c r="E21" s="31"/>
      <c r="F21" s="31"/>
      <c r="G21" s="31"/>
      <c r="H21" s="17" t="s">
        <v>72</v>
      </c>
    </row>
    <row r="22" customFormat="false" ht="15" hidden="false" customHeight="false" outlineLevel="0" collapsed="false">
      <c r="A22" s="18" t="s">
        <v>79</v>
      </c>
      <c r="B22" s="32" t="n">
        <f aca="false">SUM(B15:B21)</f>
        <v>57940</v>
      </c>
      <c r="C22" s="32" t="n">
        <f aca="false">SUM(C15:C21)</f>
        <v>63398</v>
      </c>
      <c r="D22" s="32" t="n">
        <f aca="false">SUM(D15:D21)</f>
        <v>71490</v>
      </c>
      <c r="E22" s="31"/>
      <c r="F22" s="31"/>
      <c r="G22" s="31"/>
    </row>
    <row r="24" customFormat="false" ht="19.5" hidden="false" customHeight="true" outlineLevel="0" collapsed="false">
      <c r="A24" s="14" t="s">
        <v>80</v>
      </c>
      <c r="B24" s="15"/>
      <c r="C24" s="15"/>
      <c r="D24" s="15"/>
      <c r="E24" s="15"/>
      <c r="F24" s="15"/>
      <c r="G24" s="15"/>
      <c r="H24" s="15"/>
    </row>
    <row r="25" customFormat="false" ht="15" hidden="false" customHeight="false" outlineLevel="0" collapsed="false">
      <c r="A25" s="18" t="s">
        <v>35</v>
      </c>
      <c r="B25" s="33" t="n">
        <f aca="false">02_Historicals!B7</f>
        <v>12968.56</v>
      </c>
      <c r="C25" s="33" t="n">
        <f aca="false">02_Historicals!C7</f>
        <v>12557.45</v>
      </c>
      <c r="D25" s="33" t="n">
        <f aca="false">02_Historicals!D7</f>
        <v>17019.74</v>
      </c>
      <c r="E25" s="34" t="n">
        <f aca="false">E27*E9/10</f>
        <v>20238.4263991204</v>
      </c>
      <c r="F25" s="34" t="n">
        <f aca="false">F27*F9/10</f>
        <v>22613.7309974815</v>
      </c>
      <c r="G25" s="34" t="n">
        <f aca="false">G27*G9/10</f>
        <v>25151.6802639971</v>
      </c>
      <c r="H25" s="20" t="s">
        <v>81</v>
      </c>
    </row>
    <row r="26" customFormat="false" ht="15" hidden="false" customHeight="false" outlineLevel="0" collapsed="false">
      <c r="A26" s="18" t="s">
        <v>82</v>
      </c>
      <c r="B26" s="35" t="n">
        <f aca="false">B25/B11</f>
        <v>0.182892401351946</v>
      </c>
      <c r="C26" s="35" t="n">
        <f aca="false">C25/C11</f>
        <v>0.165327213579912</v>
      </c>
      <c r="D26" s="35" t="n">
        <f aca="false">D25/D11</f>
        <v>0.192288394517641</v>
      </c>
      <c r="E26" s="36" t="n">
        <f aca="false">E25/E11</f>
        <v>0.192288394517641</v>
      </c>
      <c r="F26" s="36" t="n">
        <f aca="false">F25/F11</f>
        <v>0.192288394517641</v>
      </c>
      <c r="G26" s="36" t="n">
        <f aca="false">G25/G11</f>
        <v>0.192288394517641</v>
      </c>
    </row>
    <row r="27" customFormat="false" ht="15" hidden="false" customHeight="false" outlineLevel="0" collapsed="false">
      <c r="A27" s="4" t="s">
        <v>83</v>
      </c>
      <c r="B27" s="37" t="n">
        <f aca="false">B25/B9*10</f>
        <v>1149.5931211772</v>
      </c>
      <c r="C27" s="37" t="n">
        <f aca="false">C25/C9*10</f>
        <v>978.604270573566</v>
      </c>
      <c r="D27" s="37" t="n">
        <f aca="false">D25/D9*10</f>
        <v>1169.58081363386</v>
      </c>
      <c r="E27" s="29" t="n">
        <f aca="false">D27*(1+E28)</f>
        <v>1204.66823804288</v>
      </c>
      <c r="F27" s="29" t="n">
        <f aca="false">E27*(1+F28)</f>
        <v>1240.80828518417</v>
      </c>
      <c r="G27" s="29" t="n">
        <f aca="false">F27*(1+G28)</f>
        <v>1278.03253373969</v>
      </c>
    </row>
    <row r="28" customFormat="false" ht="15" hidden="false" customHeight="false" outlineLevel="0" collapsed="false">
      <c r="A28" s="4" t="s">
        <v>84</v>
      </c>
      <c r="B28" s="38"/>
      <c r="C28" s="38"/>
      <c r="D28" s="38"/>
      <c r="E28" s="26" t="n">
        <v>0.03</v>
      </c>
      <c r="F28" s="26" t="n">
        <v>0.03</v>
      </c>
      <c r="G28" s="26" t="n">
        <v>0.03</v>
      </c>
      <c r="H28" s="4" t="s">
        <v>85</v>
      </c>
    </row>
  </sheetData>
  <mergeCells count="1">
    <mergeCell ref="A1:H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K9" activeCellId="0" sqref="K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4"/>
  </cols>
  <sheetData>
    <row r="1" customFormat="false" ht="24.7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28</v>
      </c>
      <c r="C3" s="12" t="s">
        <v>29</v>
      </c>
      <c r="D3" s="12" t="s">
        <v>30</v>
      </c>
      <c r="E3" s="13" t="s">
        <v>54</v>
      </c>
      <c r="F3" s="13" t="s">
        <v>55</v>
      </c>
      <c r="G3" s="13" t="s">
        <v>56</v>
      </c>
    </row>
    <row r="5" customFormat="false" ht="15" hidden="false" customHeight="false" outlineLevel="0" collapsed="false">
      <c r="A5" s="4" t="s">
        <v>33</v>
      </c>
      <c r="B5" s="30" t="n">
        <f aca="false">02_Historicals!B6</f>
        <v>70908.14</v>
      </c>
      <c r="C5" s="30" t="n">
        <f aca="false">02_Historicals!C6</f>
        <v>75955.13</v>
      </c>
      <c r="D5" s="30" t="n">
        <f aca="false">02_Historicals!D6</f>
        <v>88511.53</v>
      </c>
      <c r="E5" s="39" t="n">
        <f aca="false">03_Drivers!E11</f>
        <v>105250.378993953</v>
      </c>
      <c r="F5" s="39" t="n">
        <f aca="false">03_Drivers!F11</f>
        <v>117603.202492841</v>
      </c>
      <c r="G5" s="39" t="n">
        <f aca="false">03_Drivers!G11</f>
        <v>130801.86314463</v>
      </c>
    </row>
    <row r="6" customFormat="false" ht="15" hidden="false" customHeight="false" outlineLevel="0" collapsed="false">
      <c r="A6" s="4" t="s">
        <v>35</v>
      </c>
      <c r="B6" s="30" t="n">
        <f aca="false">02_Historicals!B7</f>
        <v>12968.56</v>
      </c>
      <c r="C6" s="30" t="n">
        <f aca="false">02_Historicals!C7</f>
        <v>12557.45</v>
      </c>
      <c r="D6" s="30" t="n">
        <f aca="false">02_Historicals!D7</f>
        <v>17019.74</v>
      </c>
      <c r="E6" s="39" t="n">
        <f aca="false">03_Drivers!E25</f>
        <v>20238.4263991204</v>
      </c>
      <c r="F6" s="39" t="n">
        <f aca="false">03_Drivers!F25</f>
        <v>22613.7309974815</v>
      </c>
      <c r="G6" s="39" t="n">
        <f aca="false">03_Drivers!G25</f>
        <v>25151.6802639971</v>
      </c>
    </row>
    <row r="7" customFormat="false" ht="15" hidden="false" customHeight="false" outlineLevel="0" collapsed="false">
      <c r="A7" s="4" t="s">
        <v>37</v>
      </c>
      <c r="B7" s="30" t="n">
        <f aca="false">02_Historicals!B8</f>
        <v>616.95</v>
      </c>
      <c r="C7" s="30" t="n">
        <f aca="false">02_Historicals!C8</f>
        <v>744.17</v>
      </c>
      <c r="D7" s="30" t="n">
        <f aca="false">02_Historicals!D8</f>
        <v>578</v>
      </c>
      <c r="E7" s="29" t="n">
        <f aca="false">E5*0.7%</f>
        <v>736.752652957669</v>
      </c>
      <c r="F7" s="29" t="n">
        <f aca="false">F5*0.7%</f>
        <v>823.222417449888</v>
      </c>
      <c r="G7" s="29" t="n">
        <f aca="false">G5*0.7%</f>
        <v>915.613042012412</v>
      </c>
    </row>
    <row r="8" customFormat="false" ht="15" hidden="false" customHeight="false" outlineLevel="0" collapsed="false">
      <c r="A8" s="18" t="s">
        <v>39</v>
      </c>
      <c r="B8" s="33" t="n">
        <f aca="false">02_Historicals!B9</f>
        <v>13585.51</v>
      </c>
      <c r="C8" s="33" t="n">
        <f aca="false">02_Historicals!C9</f>
        <v>13301.62</v>
      </c>
      <c r="D8" s="33" t="n">
        <f aca="false">02_Historicals!D9</f>
        <v>17597.74</v>
      </c>
      <c r="E8" s="34" t="n">
        <f aca="false">E6+E7</f>
        <v>20975.1790520781</v>
      </c>
      <c r="F8" s="34" t="n">
        <f aca="false">F6+F7</f>
        <v>23436.9534149313</v>
      </c>
      <c r="G8" s="34" t="n">
        <f aca="false">G6+G7</f>
        <v>26067.2933060096</v>
      </c>
    </row>
    <row r="9" customFormat="false" ht="15" hidden="false" customHeight="false" outlineLevel="0" collapsed="false">
      <c r="A9" s="4" t="s">
        <v>87</v>
      </c>
      <c r="B9" s="30" t="n">
        <f aca="false">02_Historicals!B10</f>
        <v>3145.3</v>
      </c>
      <c r="C9" s="30" t="n">
        <f aca="false">02_Historicals!C10</f>
        <v>4014.95</v>
      </c>
      <c r="D9" s="30" t="n">
        <f aca="false">02_Historicals!D10</f>
        <v>4644.46</v>
      </c>
      <c r="E9" s="39" t="n">
        <f aca="false">07_Schedules!E8</f>
        <v>4817.0028</v>
      </c>
      <c r="F9" s="39" t="n">
        <f aca="false">07_Schedules!F8</f>
        <v>5127.982632</v>
      </c>
      <c r="G9" s="39" t="n">
        <f aca="false">07_Schedules!G8</f>
        <v>5420.30367408</v>
      </c>
    </row>
    <row r="10" customFormat="false" ht="15" hidden="false" customHeight="false" outlineLevel="0" collapsed="false">
      <c r="A10" s="18" t="s">
        <v>42</v>
      </c>
      <c r="B10" s="33" t="n">
        <f aca="false">02_Historicals!B11</f>
        <v>10440.21</v>
      </c>
      <c r="C10" s="33" t="n">
        <f aca="false">02_Historicals!C11</f>
        <v>9286.67</v>
      </c>
      <c r="D10" s="33" t="n">
        <f aca="false">02_Historicals!D11</f>
        <v>12953.28</v>
      </c>
      <c r="E10" s="34" t="n">
        <f aca="false">E8-E9</f>
        <v>16158.1762520781</v>
      </c>
      <c r="F10" s="34" t="n">
        <f aca="false">F8-F9</f>
        <v>18308.9707829313</v>
      </c>
      <c r="G10" s="34" t="n">
        <f aca="false">G8-G9</f>
        <v>20646.9896319296</v>
      </c>
    </row>
    <row r="11" customFormat="false" ht="15" hidden="false" customHeight="false" outlineLevel="0" collapsed="false">
      <c r="A11" s="4" t="s">
        <v>44</v>
      </c>
      <c r="B11" s="30" t="n">
        <f aca="false">02_Historicals!B12</f>
        <v>968</v>
      </c>
      <c r="C11" s="30" t="n">
        <f aca="false">02_Historicals!C12</f>
        <v>1650.54</v>
      </c>
      <c r="D11" s="30" t="n">
        <f aca="false">02_Historicals!D12</f>
        <v>1871.71</v>
      </c>
      <c r="E11" s="39" t="n">
        <f aca="false">07_Schedules!E17</f>
        <v>1783.5525</v>
      </c>
      <c r="F11" s="39" t="n">
        <f aca="false">07_Schedules!F17</f>
        <v>1933.5525</v>
      </c>
      <c r="G11" s="39" t="n">
        <f aca="false">07_Schedules!G17</f>
        <v>2083.5525</v>
      </c>
    </row>
    <row r="12" customFormat="false" ht="15" hidden="false" customHeight="false" outlineLevel="0" collapsed="false">
      <c r="A12" s="4" t="s">
        <v>45</v>
      </c>
      <c r="B12" s="30" t="n">
        <f aca="false">02_Historicals!B13</f>
        <v>72</v>
      </c>
      <c r="C12" s="30" t="n">
        <f aca="false">02_Historicals!C13</f>
        <v>97.43</v>
      </c>
      <c r="D12" s="30" t="n">
        <f aca="false">02_Historicals!D13</f>
        <v>138.55</v>
      </c>
      <c r="E12" s="40" t="n">
        <v>0</v>
      </c>
      <c r="F12" s="40" t="n">
        <v>0</v>
      </c>
      <c r="G12" s="40" t="n">
        <v>0</v>
      </c>
    </row>
    <row r="13" customFormat="false" ht="15" hidden="false" customHeight="false" outlineLevel="0" collapsed="false">
      <c r="A13" s="4" t="s">
        <v>88</v>
      </c>
      <c r="B13" s="30" t="n">
        <f aca="false">02_Historicals!B14</f>
        <v>22.01</v>
      </c>
      <c r="C13" s="30" t="n">
        <f aca="false">02_Historicals!C14</f>
        <v>-10.57</v>
      </c>
      <c r="D13" s="30" t="n">
        <f aca="false">02_Historicals!D14</f>
        <v>-15.83</v>
      </c>
      <c r="E13" s="40" t="n">
        <v>0</v>
      </c>
      <c r="F13" s="40" t="n">
        <v>0</v>
      </c>
      <c r="G13" s="40" t="n">
        <v>0</v>
      </c>
    </row>
    <row r="14" customFormat="false" ht="15" hidden="false" customHeight="false" outlineLevel="0" collapsed="false">
      <c r="A14" s="18" t="s">
        <v>47</v>
      </c>
      <c r="B14" s="33" t="n">
        <f aca="false">02_Historicals!B15</f>
        <v>9422.22</v>
      </c>
      <c r="C14" s="33" t="n">
        <f aca="false">02_Historicals!C15</f>
        <v>7528.13</v>
      </c>
      <c r="D14" s="33" t="n">
        <f aca="false">02_Historicals!D15</f>
        <v>10927.19</v>
      </c>
      <c r="E14" s="34" t="n">
        <f aca="false">E10-E11-E12+E13</f>
        <v>14374.6237520781</v>
      </c>
      <c r="F14" s="34" t="n">
        <f aca="false">F10-F11-F12+F13</f>
        <v>16375.4182829313</v>
      </c>
      <c r="G14" s="34" t="n">
        <f aca="false">G10-G11-G12+G13</f>
        <v>18563.4371319296</v>
      </c>
    </row>
    <row r="15" customFormat="false" ht="15" hidden="false" customHeight="false" outlineLevel="0" collapsed="false">
      <c r="A15" s="4" t="s">
        <v>48</v>
      </c>
      <c r="B15" s="30" t="n">
        <f aca="false">02_Historicals!B16</f>
        <v>2418.26</v>
      </c>
      <c r="C15" s="30" t="n">
        <f aca="false">02_Historicals!C16</f>
        <v>1488.49</v>
      </c>
      <c r="D15" s="30" t="n">
        <f aca="false">02_Historicals!D16</f>
        <v>2738.84</v>
      </c>
      <c r="E15" s="29" t="n">
        <f aca="false">E14*25%</f>
        <v>3593.65593801952</v>
      </c>
      <c r="F15" s="29" t="n">
        <f aca="false">F14*25%</f>
        <v>4093.85457073283</v>
      </c>
      <c r="G15" s="29" t="n">
        <f aca="false">G14*25%</f>
        <v>4640.85928298239</v>
      </c>
    </row>
    <row r="16" customFormat="false" ht="15" hidden="false" customHeight="false" outlineLevel="0" collapsed="false">
      <c r="A16" s="18" t="s">
        <v>49</v>
      </c>
      <c r="B16" s="33" t="n">
        <f aca="false">02_Historicals!B17</f>
        <v>7005</v>
      </c>
      <c r="C16" s="33" t="n">
        <f aca="false">02_Historicals!C17</f>
        <v>6039.11</v>
      </c>
      <c r="D16" s="33" t="n">
        <f aca="false">02_Historicals!D17</f>
        <v>8165.64</v>
      </c>
      <c r="E16" s="34" t="n">
        <f aca="false">E14-E15</f>
        <v>10780.9678140586</v>
      </c>
      <c r="F16" s="34" t="n">
        <f aca="false">F14-F15</f>
        <v>12281.5637121985</v>
      </c>
      <c r="G16" s="34" t="n">
        <f aca="false">G14-G15</f>
        <v>13922.5778489472</v>
      </c>
    </row>
    <row r="17" customFormat="false" ht="15" hidden="false" customHeight="false" outlineLevel="0" collapsed="false">
      <c r="A17" s="4" t="s">
        <v>50</v>
      </c>
      <c r="B17" s="30" t="n">
        <f aca="false">02_Historicals!B18</f>
        <v>-1.04</v>
      </c>
      <c r="C17" s="30" t="n">
        <f aca="false">02_Historicals!C18</f>
        <v>0.53</v>
      </c>
      <c r="D17" s="30" t="n">
        <f aca="false">02_Historicals!D18</f>
        <v>22.17</v>
      </c>
      <c r="E17" s="29" t="n">
        <f aca="false">0</f>
        <v>0</v>
      </c>
      <c r="F17" s="29" t="n">
        <f aca="false">0</f>
        <v>0</v>
      </c>
      <c r="G17" s="29" t="n">
        <f aca="false">0</f>
        <v>0</v>
      </c>
    </row>
  </sheetData>
  <mergeCells count="1">
    <mergeCell ref="A1:G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8" activeCellId="0" sqref="I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24.75" hidden="false" customHeight="true" outlineLevel="0" collapsed="false">
      <c r="A1" s="2" t="s">
        <v>89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28</v>
      </c>
      <c r="C3" s="12" t="s">
        <v>29</v>
      </c>
      <c r="D3" s="12" t="s">
        <v>30</v>
      </c>
      <c r="E3" s="13" t="s">
        <v>54</v>
      </c>
      <c r="F3" s="13" t="s">
        <v>55</v>
      </c>
      <c r="G3" s="13" t="s">
        <v>56</v>
      </c>
    </row>
    <row r="5" customFormat="false" ht="19.5" hidden="false" customHeight="true" outlineLevel="0" collapsed="false">
      <c r="A5" s="14" t="s">
        <v>90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4" t="s">
        <v>91</v>
      </c>
      <c r="B6" s="28" t="n">
        <v>50126.09</v>
      </c>
      <c r="C6" s="28" t="n">
        <v>76015.19</v>
      </c>
      <c r="D6" s="28" t="n">
        <v>80283.38</v>
      </c>
      <c r="E6" s="39" t="n">
        <f aca="false">07_Schedules!E9</f>
        <v>85466.3772</v>
      </c>
      <c r="F6" s="39" t="n">
        <f aca="false">07_Schedules!F9</f>
        <v>90338.394568</v>
      </c>
      <c r="G6" s="39" t="n">
        <f aca="false">07_Schedules!G9</f>
        <v>94918.09089392</v>
      </c>
    </row>
    <row r="7" customFormat="false" ht="15" hidden="false" customHeight="false" outlineLevel="0" collapsed="false">
      <c r="A7" s="4" t="s">
        <v>92</v>
      </c>
      <c r="B7" s="28" t="n">
        <v>27532.45</v>
      </c>
      <c r="C7" s="28" t="n">
        <v>34082.45</v>
      </c>
      <c r="D7" s="28" t="n">
        <v>35990.92</v>
      </c>
      <c r="E7" s="29" t="n">
        <f aca="false">D7</f>
        <v>35990.92</v>
      </c>
      <c r="F7" s="29" t="n">
        <f aca="false">E7</f>
        <v>35990.92</v>
      </c>
      <c r="G7" s="29" t="n">
        <f aca="false">F7</f>
        <v>35990.92</v>
      </c>
    </row>
    <row r="8" customFormat="false" ht="15" hidden="false" customHeight="false" outlineLevel="0" collapsed="false">
      <c r="A8" s="4" t="s">
        <v>93</v>
      </c>
      <c r="B8" s="28" t="n">
        <v>4278.16</v>
      </c>
      <c r="C8" s="28" t="n">
        <v>5890.25</v>
      </c>
      <c r="D8" s="28" t="n">
        <v>6028.75</v>
      </c>
      <c r="E8" s="39" t="n">
        <f aca="false">07_Schedules!E22</f>
        <v>8420.03031951622</v>
      </c>
      <c r="F8" s="39" t="n">
        <f aca="false">07_Schedules!F22</f>
        <v>9408.2561994273</v>
      </c>
      <c r="G8" s="39" t="n">
        <f aca="false">07_Schedules!G22</f>
        <v>10464.1490515704</v>
      </c>
    </row>
    <row r="9" customFormat="false" ht="15" hidden="false" customHeight="false" outlineLevel="0" collapsed="false">
      <c r="A9" s="4" t="s">
        <v>94</v>
      </c>
      <c r="B9" s="28" t="n">
        <v>8329.74</v>
      </c>
      <c r="C9" s="28" t="n">
        <v>9562.98</v>
      </c>
      <c r="D9" s="28" t="n">
        <v>9694.28</v>
      </c>
      <c r="E9" s="39" t="n">
        <f aca="false">07_Schedules!E23</f>
        <v>4250.59762974162</v>
      </c>
      <c r="F9" s="39" t="n">
        <f aca="false">07_Schedules!F23</f>
        <v>4749.47357476799</v>
      </c>
      <c r="G9" s="39" t="n">
        <f aca="false">07_Schedules!G23</f>
        <v>5282.50914403166</v>
      </c>
    </row>
    <row r="10" customFormat="false" ht="15" hidden="false" customHeight="false" outlineLevel="0" collapsed="false">
      <c r="A10" s="4" t="s">
        <v>95</v>
      </c>
      <c r="B10" s="28" t="n">
        <v>553.58</v>
      </c>
      <c r="C10" s="28" t="n">
        <v>467.21</v>
      </c>
      <c r="D10" s="28" t="n">
        <v>354.48</v>
      </c>
      <c r="E10" s="39" t="n">
        <f aca="false">06_Cash_Flow!E22</f>
        <v>5412.90530957559</v>
      </c>
      <c r="F10" s="39" t="n">
        <f aca="false">06_Cash_Flow!F22</f>
        <v>11677.2385984391</v>
      </c>
      <c r="G10" s="39" t="n">
        <f aca="false">06_Cash_Flow!G22</f>
        <v>19499.533041092</v>
      </c>
    </row>
    <row r="11" customFormat="false" ht="15" hidden="false" customHeight="false" outlineLevel="0" collapsed="false">
      <c r="A11" s="4" t="s">
        <v>96</v>
      </c>
      <c r="B11" s="28" t="n">
        <v>9981.99</v>
      </c>
      <c r="C11" s="28" t="n">
        <v>7679.07</v>
      </c>
      <c r="D11" s="28" t="n">
        <v>9024.24</v>
      </c>
      <c r="E11" s="29" t="n">
        <f aca="false">D11</f>
        <v>9024.24</v>
      </c>
      <c r="F11" s="29" t="n">
        <f aca="false">E11</f>
        <v>9024.24</v>
      </c>
      <c r="G11" s="29" t="n">
        <f aca="false">F11</f>
        <v>9024.24</v>
      </c>
    </row>
    <row r="12" customFormat="false" ht="15" hidden="false" customHeight="false" outlineLevel="0" collapsed="false">
      <c r="A12" s="18" t="s">
        <v>97</v>
      </c>
      <c r="B12" s="32" t="n">
        <f aca="false">SUM(B6:B11)</f>
        <v>100802.01</v>
      </c>
      <c r="C12" s="32" t="n">
        <f aca="false">SUM(C6:C11)</f>
        <v>133697.15</v>
      </c>
      <c r="D12" s="32" t="n">
        <f aca="false">SUM(D6:D11)</f>
        <v>141376.05</v>
      </c>
      <c r="E12" s="34" t="n">
        <f aca="false">SUM(E6:E11)</f>
        <v>148565.070458833</v>
      </c>
      <c r="F12" s="34" t="n">
        <f aca="false">SUM(F6:F11)</f>
        <v>161188.522940634</v>
      </c>
      <c r="G12" s="34" t="n">
        <f aca="false">SUM(G6:G11)</f>
        <v>175179.442130614</v>
      </c>
    </row>
    <row r="14" customFormat="false" ht="19.5" hidden="false" customHeight="true" outlineLevel="0" collapsed="false">
      <c r="A14" s="14" t="s">
        <v>98</v>
      </c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4" t="s">
        <v>99</v>
      </c>
      <c r="B15" s="28" t="n">
        <v>288.69</v>
      </c>
      <c r="C15" s="28" t="n">
        <v>294.68</v>
      </c>
      <c r="D15" s="28" t="n">
        <v>294.68</v>
      </c>
      <c r="E15" s="29" t="n">
        <f aca="false">D15</f>
        <v>294.68</v>
      </c>
      <c r="F15" s="29" t="n">
        <f aca="false">E15</f>
        <v>294.68</v>
      </c>
      <c r="G15" s="29" t="n">
        <f aca="false">F15</f>
        <v>294.68</v>
      </c>
    </row>
    <row r="16" customFormat="false" ht="15" hidden="false" customHeight="false" outlineLevel="0" collapsed="false">
      <c r="A16" s="4" t="s">
        <v>100</v>
      </c>
      <c r="B16" s="28" t="n">
        <v>59938</v>
      </c>
      <c r="C16" s="28" t="n">
        <v>70411</v>
      </c>
      <c r="D16" s="28" t="n">
        <v>76328.86</v>
      </c>
      <c r="E16" s="39" t="n">
        <f aca="false">D16+04_Income_Statement!E16+06_Cash_Flow!E17</f>
        <v>84953.6342512468</v>
      </c>
      <c r="F16" s="39" t="n">
        <f aca="false">E16+04_Income_Statement!F16+06_Cash_Flow!F17</f>
        <v>94778.8852210057</v>
      </c>
      <c r="G16" s="39" t="n">
        <f aca="false">F16+04_Income_Statement!G16+06_Cash_Flow!G17</f>
        <v>105916.947500163</v>
      </c>
    </row>
    <row r="17" customFormat="false" ht="15" hidden="false" customHeight="false" outlineLevel="0" collapsed="false">
      <c r="A17" s="4" t="s">
        <v>101</v>
      </c>
      <c r="B17" s="28" t="n">
        <v>55</v>
      </c>
      <c r="C17" s="28" t="n">
        <v>3186</v>
      </c>
      <c r="D17" s="28" t="n">
        <v>4088.9</v>
      </c>
      <c r="E17" s="29" t="n">
        <f aca="false">D17</f>
        <v>4088.9</v>
      </c>
      <c r="F17" s="29" t="n">
        <f aca="false">E17</f>
        <v>4088.9</v>
      </c>
      <c r="G17" s="29" t="n">
        <f aca="false">F17</f>
        <v>4088.9</v>
      </c>
    </row>
    <row r="18" customFormat="false" ht="15" hidden="false" customHeight="false" outlineLevel="0" collapsed="false">
      <c r="A18" s="4" t="s">
        <v>102</v>
      </c>
      <c r="B18" s="28" t="n">
        <v>5307.78</v>
      </c>
      <c r="C18" s="28" t="n">
        <v>15780.77</v>
      </c>
      <c r="D18" s="28" t="n">
        <v>15018.82</v>
      </c>
      <c r="E18" s="39" t="n">
        <f aca="false">07_Schedules!E14*65.9%</f>
        <v>16330.4813</v>
      </c>
      <c r="F18" s="39" t="n">
        <f aca="false">07_Schedules!F14*65.9%</f>
        <v>17648.4813</v>
      </c>
      <c r="G18" s="39" t="n">
        <f aca="false">07_Schedules!G14*65.9%</f>
        <v>18966.4813</v>
      </c>
    </row>
    <row r="19" customFormat="false" ht="15" hidden="false" customHeight="false" outlineLevel="0" collapsed="false">
      <c r="A19" s="4" t="s">
        <v>103</v>
      </c>
      <c r="B19" s="28" t="n">
        <v>4990.61</v>
      </c>
      <c r="C19" s="28" t="n">
        <v>7250.22</v>
      </c>
      <c r="D19" s="28" t="n">
        <v>7761.84</v>
      </c>
      <c r="E19" s="39" t="n">
        <f aca="false">07_Schedules!E14*34.1%</f>
        <v>8450.2187</v>
      </c>
      <c r="F19" s="39" t="n">
        <f aca="false">07_Schedules!F14*34.1%</f>
        <v>9132.2187</v>
      </c>
      <c r="G19" s="39" t="n">
        <f aca="false">07_Schedules!G14*34.1%</f>
        <v>9814.2187</v>
      </c>
    </row>
    <row r="20" customFormat="false" ht="15" hidden="false" customHeight="false" outlineLevel="0" collapsed="false">
      <c r="A20" s="4" t="s">
        <v>104</v>
      </c>
      <c r="B20" s="28" t="n">
        <v>8224</v>
      </c>
      <c r="C20" s="28" t="n">
        <v>9054</v>
      </c>
      <c r="D20" s="28" t="n">
        <v>10236.71</v>
      </c>
      <c r="E20" s="39" t="n">
        <f aca="false">07_Schedules!E24</f>
        <v>6800.95620758659</v>
      </c>
      <c r="F20" s="39" t="n">
        <f aca="false">07_Schedules!F24</f>
        <v>7599.15771962878</v>
      </c>
      <c r="G20" s="39" t="n">
        <f aca="false">07_Schedules!G24</f>
        <v>8452.01463045066</v>
      </c>
    </row>
    <row r="21" customFormat="false" ht="15" hidden="false" customHeight="false" outlineLevel="0" collapsed="false">
      <c r="A21" s="4" t="s">
        <v>105</v>
      </c>
      <c r="B21" s="28" t="n">
        <v>13690.39</v>
      </c>
      <c r="C21" s="28" t="n">
        <v>16059.78</v>
      </c>
      <c r="D21" s="28" t="n">
        <v>15833.15</v>
      </c>
      <c r="E21" s="29" t="n">
        <f aca="false">D21</f>
        <v>15833.15</v>
      </c>
      <c r="F21" s="29" t="n">
        <f aca="false">E21</f>
        <v>15833.15</v>
      </c>
      <c r="G21" s="29" t="n">
        <f aca="false">F21</f>
        <v>15833.15</v>
      </c>
    </row>
    <row r="22" customFormat="false" ht="15" hidden="false" customHeight="false" outlineLevel="0" collapsed="false">
      <c r="A22" s="4" t="s">
        <v>106</v>
      </c>
      <c r="B22" s="37" t="n">
        <f aca="false">13612-5307.78</f>
        <v>8304.22</v>
      </c>
      <c r="C22" s="37" t="n">
        <f aca="false">27438-15780.77</f>
        <v>11657.23</v>
      </c>
      <c r="D22" s="37" t="n">
        <f aca="false">26831.91-15018.82</f>
        <v>11813.09</v>
      </c>
      <c r="E22" s="29" t="n">
        <f aca="false">D22</f>
        <v>11813.09</v>
      </c>
      <c r="F22" s="29" t="n">
        <f aca="false">E22</f>
        <v>11813.09</v>
      </c>
      <c r="G22" s="29" t="n">
        <f aca="false">F22</f>
        <v>11813.09</v>
      </c>
    </row>
    <row r="23" customFormat="false" ht="15" hidden="false" customHeight="false" outlineLevel="0" collapsed="false">
      <c r="A23" s="18" t="s">
        <v>107</v>
      </c>
      <c r="B23" s="32" t="n">
        <f aca="false">SUM(B15:B22)</f>
        <v>100798.69</v>
      </c>
      <c r="C23" s="32" t="n">
        <f aca="false">SUM(C15:C22)</f>
        <v>133693.68</v>
      </c>
      <c r="D23" s="32" t="n">
        <f aca="false">SUM(D15:D22)</f>
        <v>141376.05</v>
      </c>
      <c r="E23" s="34" t="n">
        <f aca="false">SUM(E15:E22)</f>
        <v>148565.110458833</v>
      </c>
      <c r="F23" s="34" t="n">
        <f aca="false">SUM(F15:F22)</f>
        <v>161188.562940634</v>
      </c>
      <c r="G23" s="34" t="n">
        <f aca="false">SUM(G15:G22)</f>
        <v>175179.482130614</v>
      </c>
    </row>
    <row r="25" customFormat="false" ht="15" hidden="false" customHeight="false" outlineLevel="0" collapsed="false">
      <c r="A25" s="18" t="s">
        <v>108</v>
      </c>
      <c r="B25" s="32" t="n">
        <f aca="false">B12-B23</f>
        <v>3.31999999999243</v>
      </c>
      <c r="C25" s="32" t="n">
        <f aca="false">C12-C23</f>
        <v>3.47000000000116</v>
      </c>
      <c r="D25" s="32" t="n">
        <f aca="false">D12-D23</f>
        <v>0</v>
      </c>
      <c r="E25" s="34" t="n">
        <f aca="false">E12-E23</f>
        <v>-0.0400000000081491</v>
      </c>
      <c r="F25" s="34" t="n">
        <f aca="false">F12-F23</f>
        <v>-0.0400000000081491</v>
      </c>
      <c r="G25" s="34" t="n">
        <f aca="false">G12-G23</f>
        <v>-0.0400000000372529</v>
      </c>
    </row>
  </sheetData>
  <mergeCells count="1">
    <mergeCell ref="A1:G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J18" activeCellId="0" sqref="J1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24.75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28</v>
      </c>
      <c r="C3" s="12" t="s">
        <v>29</v>
      </c>
      <c r="D3" s="12" t="s">
        <v>30</v>
      </c>
      <c r="E3" s="13" t="s">
        <v>54</v>
      </c>
      <c r="F3" s="13" t="s">
        <v>55</v>
      </c>
      <c r="G3" s="13" t="s">
        <v>56</v>
      </c>
    </row>
    <row r="5" customFormat="false" ht="19.5" hidden="false" customHeight="true" outlineLevel="0" collapsed="false">
      <c r="A5" s="14" t="s">
        <v>110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4" t="s">
        <v>49</v>
      </c>
      <c r="E6" s="39" t="n">
        <f aca="false">04_Income_Statement!E16</f>
        <v>10780.9678140586</v>
      </c>
      <c r="F6" s="39" t="n">
        <f aca="false">04_Income_Statement!F16</f>
        <v>12281.5637121985</v>
      </c>
      <c r="G6" s="39" t="n">
        <f aca="false">04_Income_Statement!G16</f>
        <v>13922.5778489472</v>
      </c>
    </row>
    <row r="7" customFormat="false" ht="15" hidden="false" customHeight="false" outlineLevel="0" collapsed="false">
      <c r="A7" s="4" t="s">
        <v>41</v>
      </c>
      <c r="E7" s="39" t="n">
        <f aca="false">07_Schedules!E8</f>
        <v>4817.0028</v>
      </c>
      <c r="F7" s="39" t="n">
        <f aca="false">07_Schedules!F8</f>
        <v>5127.982632</v>
      </c>
      <c r="G7" s="39" t="n">
        <f aca="false">07_Schedules!G8</f>
        <v>5420.30367408</v>
      </c>
    </row>
    <row r="8" customFormat="false" ht="15" hidden="false" customHeight="false" outlineLevel="0" collapsed="false">
      <c r="A8" s="4" t="s">
        <v>111</v>
      </c>
      <c r="E8" s="39" t="n">
        <f aca="false">07_Schedules!E26</f>
        <v>383.351741671246</v>
      </c>
      <c r="F8" s="39" t="n">
        <f aca="false">07_Schedules!F26</f>
        <v>688.900312895256</v>
      </c>
      <c r="G8" s="39" t="n">
        <f aca="false">07_Schedules!G26</f>
        <v>736.07151058493</v>
      </c>
    </row>
    <row r="9" customFormat="false" ht="15" hidden="false" customHeight="false" outlineLevel="0" collapsed="false">
      <c r="A9" s="18" t="s">
        <v>110</v>
      </c>
      <c r="E9" s="34" t="n">
        <f aca="false">E6+E7-E8</f>
        <v>15214.6188723873</v>
      </c>
      <c r="F9" s="34" t="n">
        <f aca="false">F6+F7-F8</f>
        <v>16720.6460313032</v>
      </c>
      <c r="G9" s="34" t="n">
        <f aca="false">G6+G7-G8</f>
        <v>18606.8100124422</v>
      </c>
    </row>
    <row r="11" customFormat="false" ht="19.5" hidden="false" customHeight="true" outlineLevel="0" collapsed="false">
      <c r="A11" s="14" t="s">
        <v>112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4" t="s">
        <v>113</v>
      </c>
      <c r="E12" s="39" t="n">
        <f aca="false">-07_Schedules!E7</f>
        <v>-10000</v>
      </c>
      <c r="F12" s="39" t="n">
        <f aca="false">-07_Schedules!F7</f>
        <v>-10000</v>
      </c>
      <c r="G12" s="39" t="n">
        <f aca="false">-07_Schedules!G7</f>
        <v>-10000</v>
      </c>
    </row>
    <row r="13" customFormat="false" ht="15" hidden="false" customHeight="false" outlineLevel="0" collapsed="false">
      <c r="A13" s="18" t="s">
        <v>112</v>
      </c>
      <c r="E13" s="34" t="n">
        <f aca="false">E12</f>
        <v>-10000</v>
      </c>
      <c r="F13" s="34" t="n">
        <f aca="false">F12</f>
        <v>-10000</v>
      </c>
      <c r="G13" s="34" t="n">
        <f aca="false">G12</f>
        <v>-10000</v>
      </c>
    </row>
    <row r="15" customFormat="false" ht="19.5" hidden="false" customHeight="true" outlineLevel="0" collapsed="false">
      <c r="A15" s="14" t="s">
        <v>114</v>
      </c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4" t="s">
        <v>115</v>
      </c>
      <c r="E16" s="39" t="n">
        <f aca="false">07_Schedules!E13</f>
        <v>2000</v>
      </c>
      <c r="F16" s="39" t="n">
        <f aca="false">07_Schedules!F13</f>
        <v>2000</v>
      </c>
      <c r="G16" s="39" t="n">
        <f aca="false">07_Schedules!G13</f>
        <v>2000</v>
      </c>
    </row>
    <row r="17" customFormat="false" ht="15" hidden="false" customHeight="false" outlineLevel="0" collapsed="false">
      <c r="A17" s="4" t="s">
        <v>116</v>
      </c>
      <c r="E17" s="29" t="n">
        <f aca="false">-E6*20%</f>
        <v>-2156.19356281171</v>
      </c>
      <c r="F17" s="29" t="n">
        <f aca="false">-F6*20%</f>
        <v>-2456.3127424397</v>
      </c>
      <c r="G17" s="29" t="n">
        <f aca="false">-G6*20%</f>
        <v>-2784.51556978943</v>
      </c>
    </row>
    <row r="18" customFormat="false" ht="15" hidden="false" customHeight="false" outlineLevel="0" collapsed="false">
      <c r="A18" s="18" t="s">
        <v>114</v>
      </c>
      <c r="E18" s="34" t="n">
        <f aca="false">E16+E17</f>
        <v>-156.19356281171</v>
      </c>
      <c r="F18" s="34" t="n">
        <f aca="false">F16+F17</f>
        <v>-456.312742439701</v>
      </c>
      <c r="G18" s="34" t="n">
        <f aca="false">G16+G17</f>
        <v>-784.515569789434</v>
      </c>
    </row>
    <row r="20" customFormat="false" ht="15" hidden="false" customHeight="false" outlineLevel="0" collapsed="false">
      <c r="A20" s="18" t="s">
        <v>117</v>
      </c>
      <c r="E20" s="34" t="n">
        <f aca="false">E9+E13+E18</f>
        <v>5058.42530957559</v>
      </c>
      <c r="F20" s="34" t="n">
        <f aca="false">F9+F13+F18</f>
        <v>6264.33328886355</v>
      </c>
      <c r="G20" s="34" t="n">
        <f aca="false">G9+G13+G18</f>
        <v>7822.29444265281</v>
      </c>
    </row>
    <row r="21" customFormat="false" ht="15" hidden="false" customHeight="false" outlineLevel="0" collapsed="false">
      <c r="A21" s="4" t="s">
        <v>118</v>
      </c>
      <c r="E21" s="39" t="n">
        <f aca="false">05_Balance_Sheet!D10</f>
        <v>354.48</v>
      </c>
      <c r="F21" s="29" t="n">
        <f aca="false">E22</f>
        <v>5412.90530957559</v>
      </c>
      <c r="G21" s="29" t="n">
        <f aca="false">F22</f>
        <v>11677.2385984391</v>
      </c>
    </row>
    <row r="22" customFormat="false" ht="15" hidden="false" customHeight="false" outlineLevel="0" collapsed="false">
      <c r="A22" s="18" t="s">
        <v>119</v>
      </c>
      <c r="E22" s="34" t="n">
        <f aca="false">E21+E20</f>
        <v>5412.90530957559</v>
      </c>
      <c r="F22" s="34" t="n">
        <f aca="false">F21+F20</f>
        <v>11677.2385984391</v>
      </c>
      <c r="G22" s="34" t="n">
        <f aca="false">G21+G20</f>
        <v>19499.533041092</v>
      </c>
    </row>
  </sheetData>
  <mergeCells count="1">
    <mergeCell ref="A1:G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16" activeCellId="0" sqref="I1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24.75" hidden="false" customHeight="true" outlineLevel="0" collapsed="false">
      <c r="A1" s="2" t="s">
        <v>120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28</v>
      </c>
      <c r="C3" s="12" t="s">
        <v>29</v>
      </c>
      <c r="D3" s="12" t="s">
        <v>30</v>
      </c>
      <c r="E3" s="13" t="s">
        <v>54</v>
      </c>
      <c r="F3" s="13" t="s">
        <v>55</v>
      </c>
      <c r="G3" s="13" t="s">
        <v>56</v>
      </c>
    </row>
    <row r="5" customFormat="false" ht="19.5" hidden="false" customHeight="true" outlineLevel="0" collapsed="false">
      <c r="A5" s="14" t="s">
        <v>121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4" t="s">
        <v>122</v>
      </c>
      <c r="E6" s="29" t="n">
        <f aca="false">D9</f>
        <v>80283.38</v>
      </c>
      <c r="F6" s="29" t="n">
        <f aca="false">E9</f>
        <v>85466.3772</v>
      </c>
      <c r="G6" s="29" t="n">
        <f aca="false">F9</f>
        <v>90338.394568</v>
      </c>
    </row>
    <row r="7" customFormat="false" ht="15" hidden="false" customHeight="false" outlineLevel="0" collapsed="false">
      <c r="A7" s="4" t="s">
        <v>113</v>
      </c>
      <c r="B7" s="28" t="n">
        <v>9187</v>
      </c>
      <c r="C7" s="28" t="n">
        <v>9428</v>
      </c>
      <c r="D7" s="28" t="n">
        <v>10064</v>
      </c>
      <c r="E7" s="29" t="n">
        <f aca="false">10000</f>
        <v>10000</v>
      </c>
      <c r="F7" s="29" t="n">
        <f aca="false">10000</f>
        <v>10000</v>
      </c>
      <c r="G7" s="29" t="n">
        <f aca="false">10000</f>
        <v>10000</v>
      </c>
    </row>
    <row r="8" customFormat="false" ht="15" hidden="false" customHeight="false" outlineLevel="0" collapsed="false">
      <c r="A8" s="4" t="s">
        <v>41</v>
      </c>
      <c r="B8" s="30" t="n">
        <f aca="false">02_Historicals!B10</f>
        <v>3145.3</v>
      </c>
      <c r="C8" s="30" t="n">
        <f aca="false">02_Historicals!C10</f>
        <v>4014.95</v>
      </c>
      <c r="D8" s="30" t="n">
        <f aca="false">02_Historicals!D10</f>
        <v>4644.46</v>
      </c>
      <c r="E8" s="29" t="n">
        <f aca="false">E6*6%</f>
        <v>4817.0028</v>
      </c>
      <c r="F8" s="29" t="n">
        <f aca="false">F6*6%</f>
        <v>5127.982632</v>
      </c>
      <c r="G8" s="29" t="n">
        <f aca="false">G6*6%</f>
        <v>5420.30367408</v>
      </c>
    </row>
    <row r="9" customFormat="false" ht="15" hidden="false" customHeight="false" outlineLevel="0" collapsed="false">
      <c r="A9" s="18" t="s">
        <v>123</v>
      </c>
      <c r="B9" s="41"/>
      <c r="C9" s="41"/>
      <c r="D9" s="32" t="n">
        <f aca="false">80283.38</f>
        <v>80283.38</v>
      </c>
      <c r="E9" s="34" t="n">
        <f aca="false">E6+E7-E8</f>
        <v>85466.3772</v>
      </c>
      <c r="F9" s="34" t="n">
        <f aca="false">F6+F7-F8</f>
        <v>90338.394568</v>
      </c>
      <c r="G9" s="34" t="n">
        <f aca="false">G6+G7-G8</f>
        <v>94918.09089392</v>
      </c>
    </row>
    <row r="10" customFormat="false" ht="15" hidden="false" customHeight="false" outlineLevel="0" collapsed="false">
      <c r="B10" s="41"/>
      <c r="C10" s="41"/>
      <c r="D10" s="41"/>
      <c r="E10" s="41"/>
      <c r="F10" s="41"/>
      <c r="G10" s="41"/>
    </row>
    <row r="11" customFormat="false" ht="19.5" hidden="false" customHeight="true" outlineLevel="0" collapsed="false">
      <c r="A11" s="14" t="s">
        <v>124</v>
      </c>
      <c r="B11" s="42"/>
      <c r="C11" s="42"/>
      <c r="D11" s="42"/>
      <c r="E11" s="42"/>
      <c r="F11" s="42"/>
      <c r="G11" s="42"/>
    </row>
    <row r="12" customFormat="false" ht="15" hidden="false" customHeight="false" outlineLevel="0" collapsed="false">
      <c r="A12" s="4" t="s">
        <v>125</v>
      </c>
      <c r="B12" s="41"/>
      <c r="C12" s="41"/>
      <c r="D12" s="41"/>
      <c r="E12" s="29" t="n">
        <f aca="false">D14</f>
        <v>22780.7</v>
      </c>
      <c r="F12" s="29" t="n">
        <f aca="false">E14</f>
        <v>24780.7</v>
      </c>
      <c r="G12" s="29" t="n">
        <f aca="false">F14</f>
        <v>26780.7</v>
      </c>
    </row>
    <row r="13" customFormat="false" ht="15" hidden="false" customHeight="false" outlineLevel="0" collapsed="false">
      <c r="A13" s="4" t="s">
        <v>115</v>
      </c>
      <c r="B13" s="41"/>
      <c r="C13" s="41"/>
      <c r="D13" s="41"/>
      <c r="E13" s="29" t="n">
        <f aca="false">2000</f>
        <v>2000</v>
      </c>
      <c r="F13" s="29" t="n">
        <f aca="false">2000</f>
        <v>2000</v>
      </c>
      <c r="G13" s="29" t="n">
        <f aca="false">2000</f>
        <v>2000</v>
      </c>
    </row>
    <row r="14" customFormat="false" ht="15" hidden="false" customHeight="false" outlineLevel="0" collapsed="false">
      <c r="A14" s="18" t="s">
        <v>126</v>
      </c>
      <c r="B14" s="41"/>
      <c r="C14" s="41"/>
      <c r="D14" s="32" t="n">
        <f aca="false">22780.7</f>
        <v>22780.7</v>
      </c>
      <c r="E14" s="34" t="n">
        <f aca="false">E12+E13</f>
        <v>24780.7</v>
      </c>
      <c r="F14" s="34" t="n">
        <f aca="false">F12+F13</f>
        <v>26780.7</v>
      </c>
      <c r="G14" s="34" t="n">
        <f aca="false">G12+G13</f>
        <v>28780.7</v>
      </c>
    </row>
    <row r="15" customFormat="false" ht="15" hidden="false" customHeight="false" outlineLevel="0" collapsed="false">
      <c r="A15" s="4" t="s">
        <v>127</v>
      </c>
      <c r="B15" s="41"/>
      <c r="C15" s="41"/>
      <c r="D15" s="41"/>
      <c r="E15" s="29" t="n">
        <f aca="false">(E12+E14)/2</f>
        <v>23780.7</v>
      </c>
      <c r="F15" s="29" t="n">
        <f aca="false">(F12+F14)/2</f>
        <v>25780.7</v>
      </c>
      <c r="G15" s="29" t="n">
        <f aca="false">(G12+G14)/2</f>
        <v>27780.7</v>
      </c>
    </row>
    <row r="16" customFormat="false" ht="15" hidden="false" customHeight="false" outlineLevel="0" collapsed="false">
      <c r="A16" s="4" t="s">
        <v>128</v>
      </c>
      <c r="B16" s="41"/>
      <c r="C16" s="41"/>
      <c r="D16" s="41"/>
      <c r="E16" s="43" t="n">
        <v>0.075</v>
      </c>
      <c r="F16" s="43" t="n">
        <v>0.075</v>
      </c>
      <c r="G16" s="43" t="n">
        <v>0.075</v>
      </c>
    </row>
    <row r="17" customFormat="false" ht="15" hidden="false" customHeight="false" outlineLevel="0" collapsed="false">
      <c r="A17" s="18" t="s">
        <v>44</v>
      </c>
      <c r="B17" s="33" t="n">
        <f aca="false">02_Historicals!B12</f>
        <v>968</v>
      </c>
      <c r="C17" s="33" t="n">
        <f aca="false">02_Historicals!C12</f>
        <v>1650.54</v>
      </c>
      <c r="D17" s="33" t="n">
        <f aca="false">02_Historicals!D12</f>
        <v>1871.71</v>
      </c>
      <c r="E17" s="34" t="n">
        <f aca="false">E15*E16</f>
        <v>1783.5525</v>
      </c>
      <c r="F17" s="34" t="n">
        <f aca="false">F15*F16</f>
        <v>1933.5525</v>
      </c>
      <c r="G17" s="34" t="n">
        <f aca="false">G15*G16</f>
        <v>2083.5525</v>
      </c>
    </row>
    <row r="18" customFormat="false" ht="15" hidden="false" customHeight="false" outlineLevel="0" collapsed="false">
      <c r="B18" s="41"/>
      <c r="C18" s="41"/>
      <c r="D18" s="41"/>
      <c r="E18" s="41"/>
      <c r="F18" s="41"/>
      <c r="G18" s="41"/>
    </row>
    <row r="19" customFormat="false" ht="19.5" hidden="false" customHeight="true" outlineLevel="0" collapsed="false">
      <c r="A19" s="14" t="s">
        <v>129</v>
      </c>
      <c r="B19" s="42"/>
      <c r="C19" s="42"/>
      <c r="D19" s="42"/>
      <c r="E19" s="42"/>
      <c r="F19" s="42"/>
      <c r="G19" s="42"/>
    </row>
    <row r="20" customFormat="false" ht="15" hidden="false" customHeight="false" outlineLevel="0" collapsed="false">
      <c r="A20" s="4" t="s">
        <v>130</v>
      </c>
      <c r="B20" s="30" t="n">
        <f aca="false">04_Income_Statement!B5</f>
        <v>70908.14</v>
      </c>
      <c r="C20" s="30" t="n">
        <f aca="false">04_Income_Statement!C5</f>
        <v>75955.13</v>
      </c>
      <c r="D20" s="30" t="n">
        <f aca="false">04_Income_Statement!D5</f>
        <v>88511.53</v>
      </c>
      <c r="E20" s="39" t="n">
        <f aca="false">04_Income_Statement!E5</f>
        <v>105250.378993953</v>
      </c>
      <c r="F20" s="39" t="n">
        <f aca="false">04_Income_Statement!F5</f>
        <v>117603.202492841</v>
      </c>
      <c r="G20" s="39" t="n">
        <f aca="false">04_Income_Statement!G5</f>
        <v>130801.86314463</v>
      </c>
    </row>
    <row r="21" customFormat="false" ht="15" hidden="false" customHeight="false" outlineLevel="0" collapsed="false">
      <c r="A21" s="4" t="s">
        <v>131</v>
      </c>
      <c r="B21" s="30" t="n">
        <f aca="false">03_Drivers!B22</f>
        <v>57940</v>
      </c>
      <c r="C21" s="30" t="n">
        <f aca="false">03_Drivers!C22</f>
        <v>63398</v>
      </c>
      <c r="D21" s="30" t="n">
        <f aca="false">03_Drivers!D22</f>
        <v>71490</v>
      </c>
      <c r="E21" s="39" t="n">
        <f aca="false">E20-04_Income_Statement!E6</f>
        <v>85011.9525948323</v>
      </c>
      <c r="F21" s="39" t="n">
        <f aca="false">F20-04_Income_Statement!F6</f>
        <v>94989.4714953598</v>
      </c>
      <c r="G21" s="39" t="n">
        <f aca="false">G20-04_Income_Statement!G6</f>
        <v>105650.182880633</v>
      </c>
    </row>
    <row r="22" customFormat="false" ht="15" hidden="false" customHeight="false" outlineLevel="0" collapsed="false">
      <c r="A22" s="4" t="s">
        <v>93</v>
      </c>
      <c r="B22" s="30" t="n">
        <f aca="false">05_Balance_Sheet!B8</f>
        <v>4278.16</v>
      </c>
      <c r="C22" s="30" t="n">
        <f aca="false">05_Balance_Sheet!C8</f>
        <v>5890.25</v>
      </c>
      <c r="D22" s="30" t="n">
        <f aca="false">05_Balance_Sheet!D8</f>
        <v>6028.75</v>
      </c>
      <c r="E22" s="29" t="n">
        <f aca="false">E20*8%</f>
        <v>8420.03031951622</v>
      </c>
      <c r="F22" s="29" t="n">
        <f aca="false">F20*8%</f>
        <v>9408.2561994273</v>
      </c>
      <c r="G22" s="29" t="n">
        <f aca="false">G20*8%</f>
        <v>10464.1490515704</v>
      </c>
    </row>
    <row r="23" customFormat="false" ht="15" hidden="false" customHeight="false" outlineLevel="0" collapsed="false">
      <c r="A23" s="4" t="s">
        <v>94</v>
      </c>
      <c r="B23" s="30" t="n">
        <f aca="false">05_Balance_Sheet!B9</f>
        <v>8329.74</v>
      </c>
      <c r="C23" s="30" t="n">
        <f aca="false">05_Balance_Sheet!C9</f>
        <v>9562.98</v>
      </c>
      <c r="D23" s="30" t="n">
        <f aca="false">05_Balance_Sheet!D9</f>
        <v>9694.28</v>
      </c>
      <c r="E23" s="29" t="n">
        <f aca="false">E21*5%</f>
        <v>4250.59762974162</v>
      </c>
      <c r="F23" s="29" t="n">
        <f aca="false">F21*5%</f>
        <v>4749.47357476799</v>
      </c>
      <c r="G23" s="29" t="n">
        <f aca="false">G21*5%</f>
        <v>5282.50914403166</v>
      </c>
    </row>
    <row r="24" customFormat="false" ht="15" hidden="false" customHeight="false" outlineLevel="0" collapsed="false">
      <c r="A24" s="4" t="s">
        <v>104</v>
      </c>
      <c r="B24" s="30" t="n">
        <f aca="false">05_Balance_Sheet!B20</f>
        <v>8224</v>
      </c>
      <c r="C24" s="30" t="n">
        <f aca="false">05_Balance_Sheet!C20</f>
        <v>9054</v>
      </c>
      <c r="D24" s="30" t="n">
        <f aca="false">05_Balance_Sheet!D20</f>
        <v>10236.71</v>
      </c>
      <c r="E24" s="29" t="n">
        <f aca="false">E21*8%</f>
        <v>6800.95620758659</v>
      </c>
      <c r="F24" s="29" t="n">
        <f aca="false">F21*8%</f>
        <v>7599.15771962878</v>
      </c>
      <c r="G24" s="29" t="n">
        <f aca="false">G21*8%</f>
        <v>8452.01463045066</v>
      </c>
    </row>
    <row r="25" customFormat="false" ht="15" hidden="false" customHeight="false" outlineLevel="0" collapsed="false">
      <c r="A25" s="18" t="s">
        <v>132</v>
      </c>
      <c r="B25" s="32" t="n">
        <f aca="false">B22+B23-B24</f>
        <v>4383.9</v>
      </c>
      <c r="C25" s="32" t="n">
        <f aca="false">C22+C23-C24</f>
        <v>6399.23</v>
      </c>
      <c r="D25" s="32" t="n">
        <f aca="false">D22+D23-D24</f>
        <v>5486.32</v>
      </c>
      <c r="E25" s="34" t="n">
        <f aca="false">E22+E23-E24</f>
        <v>5869.67174167125</v>
      </c>
      <c r="F25" s="34" t="n">
        <f aca="false">F22+F23-F24</f>
        <v>6558.5720545665</v>
      </c>
      <c r="G25" s="34" t="n">
        <f aca="false">G22+G23-G24</f>
        <v>7294.64356515143</v>
      </c>
    </row>
    <row r="26" customFormat="false" ht="15" hidden="false" customHeight="false" outlineLevel="0" collapsed="false">
      <c r="A26" s="18" t="s">
        <v>133</v>
      </c>
      <c r="B26" s="41"/>
      <c r="C26" s="41"/>
      <c r="D26" s="41"/>
      <c r="E26" s="34" t="n">
        <f aca="false">E25-D25</f>
        <v>383.351741671246</v>
      </c>
      <c r="F26" s="34" t="n">
        <f aca="false">F25-E25</f>
        <v>688.900312895256</v>
      </c>
      <c r="G26" s="34" t="n">
        <f aca="false">G25-F25</f>
        <v>736.07151058493</v>
      </c>
    </row>
  </sheetData>
  <mergeCells count="1">
    <mergeCell ref="A1:G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H12" activeCellId="0" sqref="H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"/>
    <col collapsed="false" customWidth="true" hidden="false" outlineLevel="0" max="6" min="6" style="1" width="27"/>
    <col collapsed="false" customWidth="true" hidden="false" outlineLevel="0" max="7" min="7" style="1" width="16"/>
  </cols>
  <sheetData>
    <row r="1" customFormat="false" ht="24.75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B3" s="12" t="s">
        <v>54</v>
      </c>
      <c r="C3" s="12" t="s">
        <v>55</v>
      </c>
      <c r="D3" s="12" t="s">
        <v>56</v>
      </c>
    </row>
    <row r="5" customFormat="false" ht="15" hidden="false" customHeight="false" outlineLevel="0" collapsed="false">
      <c r="A5" s="4" t="s">
        <v>42</v>
      </c>
      <c r="B5" s="44" t="n">
        <f aca="false">04_Income_Statement!E10</f>
        <v>16158.1762520781</v>
      </c>
      <c r="C5" s="44" t="n">
        <f aca="false">04_Income_Statement!F10</f>
        <v>18308.9707829313</v>
      </c>
      <c r="D5" s="44" t="n">
        <f aca="false">04_Income_Statement!G10</f>
        <v>20646.9896319296</v>
      </c>
    </row>
    <row r="6" customFormat="false" ht="15" hidden="false" customHeight="false" outlineLevel="0" collapsed="false">
      <c r="A6" s="4" t="s">
        <v>135</v>
      </c>
      <c r="B6" s="45" t="n">
        <v>0.25</v>
      </c>
      <c r="C6" s="45" t="n">
        <v>0.25</v>
      </c>
      <c r="D6" s="45" t="n">
        <v>0.25</v>
      </c>
    </row>
    <row r="7" customFormat="false" ht="15" hidden="false" customHeight="false" outlineLevel="0" collapsed="false">
      <c r="A7" s="4" t="s">
        <v>136</v>
      </c>
      <c r="B7" s="17" t="n">
        <f aca="false">B5*(1-B6)</f>
        <v>12118.6321890586</v>
      </c>
      <c r="C7" s="17" t="n">
        <f aca="false">C5*(1-C6)</f>
        <v>13731.7280871985</v>
      </c>
      <c r="D7" s="17" t="n">
        <f aca="false">D5*(1-D6)</f>
        <v>15485.2422239472</v>
      </c>
    </row>
    <row r="8" customFormat="false" ht="15" hidden="false" customHeight="false" outlineLevel="0" collapsed="false">
      <c r="A8" s="4" t="s">
        <v>87</v>
      </c>
      <c r="B8" s="44" t="n">
        <f aca="false">07_Schedules!E8</f>
        <v>4817.0028</v>
      </c>
      <c r="C8" s="44" t="n">
        <f aca="false">07_Schedules!F8</f>
        <v>5127.982632</v>
      </c>
      <c r="D8" s="44" t="n">
        <f aca="false">07_Schedules!G8</f>
        <v>5420.30367408</v>
      </c>
    </row>
    <row r="9" customFormat="false" ht="15" hidden="false" customHeight="false" outlineLevel="0" collapsed="false">
      <c r="A9" s="4" t="s">
        <v>113</v>
      </c>
      <c r="B9" s="44" t="n">
        <f aca="false">07_Schedules!E7</f>
        <v>10000</v>
      </c>
      <c r="C9" s="44" t="n">
        <f aca="false">07_Schedules!F7</f>
        <v>10000</v>
      </c>
      <c r="D9" s="44" t="n">
        <f aca="false">07_Schedules!G7</f>
        <v>10000</v>
      </c>
    </row>
    <row r="10" customFormat="false" ht="15" hidden="false" customHeight="false" outlineLevel="0" collapsed="false">
      <c r="A10" s="4" t="s">
        <v>133</v>
      </c>
      <c r="B10" s="44" t="n">
        <f aca="false">07_Schedules!E26</f>
        <v>383.351741671246</v>
      </c>
      <c r="C10" s="44" t="n">
        <f aca="false">07_Schedules!F26</f>
        <v>688.900312895256</v>
      </c>
      <c r="D10" s="44" t="n">
        <f aca="false">07_Schedules!G26</f>
        <v>736.07151058493</v>
      </c>
    </row>
    <row r="11" customFormat="false" ht="15" hidden="false" customHeight="false" outlineLevel="0" collapsed="false">
      <c r="A11" s="18" t="s">
        <v>137</v>
      </c>
      <c r="B11" s="20" t="n">
        <f aca="false">B7+B8-B9-B10</f>
        <v>6552.2832473873</v>
      </c>
      <c r="C11" s="20" t="n">
        <f aca="false">C7+C8-C9-C10</f>
        <v>8170.81040630325</v>
      </c>
      <c r="D11" s="20" t="n">
        <f aca="false">D7+D8-D9-D10</f>
        <v>10169.4743874422</v>
      </c>
    </row>
    <row r="13" customFormat="false" ht="19.5" hidden="false" customHeight="true" outlineLevel="0" collapsed="false">
      <c r="A13" s="14" t="s">
        <v>138</v>
      </c>
      <c r="B13" s="15"/>
      <c r="C13" s="15"/>
      <c r="D13" s="15"/>
      <c r="E13" s="15"/>
      <c r="F13" s="14" t="s">
        <v>139</v>
      </c>
      <c r="G13" s="15"/>
    </row>
    <row r="14" customFormat="false" ht="15" hidden="false" customHeight="false" outlineLevel="0" collapsed="false">
      <c r="A14" s="4" t="s">
        <v>140</v>
      </c>
      <c r="B14" s="46" t="n">
        <v>0.0702</v>
      </c>
      <c r="C14" s="47"/>
      <c r="D14" s="47"/>
      <c r="F14" s="4" t="s">
        <v>141</v>
      </c>
      <c r="G14" s="48" t="n">
        <v>324029.22</v>
      </c>
    </row>
    <row r="15" customFormat="false" ht="15" hidden="false" customHeight="false" outlineLevel="0" collapsed="false">
      <c r="A15" s="4" t="s">
        <v>142</v>
      </c>
      <c r="B15" s="46" t="n">
        <v>0.0708</v>
      </c>
      <c r="C15" s="47"/>
      <c r="D15" s="47"/>
      <c r="F15" s="4" t="s">
        <v>143</v>
      </c>
      <c r="G15" s="49" t="n">
        <f aca="false">07_Schedules!D14</f>
        <v>22780.7</v>
      </c>
    </row>
    <row r="16" customFormat="false" ht="15" hidden="false" customHeight="false" outlineLevel="0" collapsed="false">
      <c r="A16" s="4" t="s">
        <v>144</v>
      </c>
      <c r="B16" s="50" t="n">
        <v>1.22</v>
      </c>
      <c r="F16" s="4" t="s">
        <v>145</v>
      </c>
      <c r="G16" s="49" t="n">
        <f aca="false">05_Balance_Sheet!D10</f>
        <v>354.48</v>
      </c>
    </row>
    <row r="17" customFormat="false" ht="15" hidden="false" customHeight="false" outlineLevel="0" collapsed="false">
      <c r="A17" s="4" t="s">
        <v>146</v>
      </c>
      <c r="B17" s="51" t="n">
        <f aca="false">B14+B16*B15</f>
        <v>0.156576</v>
      </c>
      <c r="C17" s="52"/>
      <c r="D17" s="52"/>
      <c r="F17" s="4" t="s">
        <v>147</v>
      </c>
      <c r="G17" s="53" t="n">
        <f aca="false">G15-G16</f>
        <v>22426.22</v>
      </c>
    </row>
    <row r="18" customFormat="false" ht="15" hidden="false" customHeight="false" outlineLevel="0" collapsed="false">
      <c r="A18" s="4" t="s">
        <v>148</v>
      </c>
      <c r="B18" s="46" t="n">
        <v>0.075</v>
      </c>
    </row>
    <row r="19" customFormat="false" ht="15" hidden="false" customHeight="false" outlineLevel="0" collapsed="false">
      <c r="A19" s="4" t="s">
        <v>135</v>
      </c>
      <c r="B19" s="46" t="n">
        <v>0.25</v>
      </c>
    </row>
    <row r="20" customFormat="false" ht="15" hidden="false" customHeight="false" outlineLevel="0" collapsed="false">
      <c r="A20" s="4" t="s">
        <v>149</v>
      </c>
      <c r="B20" s="51" t="n">
        <f aca="false">B18*(1-B19)</f>
        <v>0.05625</v>
      </c>
    </row>
    <row r="21" customFormat="false" ht="15" hidden="false" customHeight="false" outlineLevel="0" collapsed="false">
      <c r="A21" s="4" t="s">
        <v>150</v>
      </c>
      <c r="B21" s="51" t="n">
        <f aca="false">G14/(G14+G15)</f>
        <v>0.934313585955096</v>
      </c>
    </row>
    <row r="22" customFormat="false" ht="15" hidden="false" customHeight="false" outlineLevel="0" collapsed="false">
      <c r="A22" s="4" t="s">
        <v>151</v>
      </c>
      <c r="B22" s="51" t="n">
        <f aca="false">G15/(G14+G15)</f>
        <v>0.0656864140449039</v>
      </c>
    </row>
    <row r="23" customFormat="false" ht="15" hidden="false" customHeight="false" outlineLevel="0" collapsed="false">
      <c r="A23" s="18" t="s">
        <v>19</v>
      </c>
      <c r="B23" s="54" t="n">
        <f aca="false">B21*B17+B22*B20</f>
        <v>0.149985944824531</v>
      </c>
    </row>
    <row r="25" customFormat="false" ht="19.5" hidden="false" customHeight="true" outlineLevel="0" collapsed="false">
      <c r="A25" s="14" t="s">
        <v>152</v>
      </c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4" t="s">
        <v>153</v>
      </c>
      <c r="B26" s="46" t="n">
        <v>0.03</v>
      </c>
    </row>
    <row r="27" customFormat="false" ht="15" hidden="false" customHeight="false" outlineLevel="0" collapsed="false">
      <c r="A27" s="4" t="s">
        <v>154</v>
      </c>
      <c r="B27" s="17" t="n">
        <f aca="false">D11</f>
        <v>10169.4743874422</v>
      </c>
    </row>
    <row r="28" customFormat="false" ht="15" hidden="false" customHeight="false" outlineLevel="0" collapsed="false">
      <c r="A28" s="18" t="s">
        <v>152</v>
      </c>
      <c r="B28" s="55" t="n">
        <f aca="false">B27*(1+B26)/(B23-B26)</f>
        <v>87298.2134231108</v>
      </c>
    </row>
    <row r="30" customFormat="false" ht="19.5" hidden="false" customHeight="true" outlineLevel="0" collapsed="false">
      <c r="A30" s="14" t="s">
        <v>155</v>
      </c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4" t="s">
        <v>156</v>
      </c>
      <c r="B31" s="17" t="n">
        <f aca="false">B11/(1+$B$23)^1</f>
        <v>5697.70724318468</v>
      </c>
    </row>
    <row r="32" customFormat="false" ht="15" hidden="false" customHeight="false" outlineLevel="0" collapsed="false">
      <c r="A32" s="4" t="s">
        <v>157</v>
      </c>
      <c r="B32" s="17" t="n">
        <f aca="false">C11/(1+$B$23)^2</f>
        <v>6178.4575693647</v>
      </c>
    </row>
    <row r="33" customFormat="false" ht="15" hidden="false" customHeight="false" outlineLevel="0" collapsed="false">
      <c r="A33" s="4" t="s">
        <v>158</v>
      </c>
      <c r="B33" s="17" t="n">
        <f aca="false">D11/(1+$B$23)^3</f>
        <v>6686.83965953875</v>
      </c>
    </row>
    <row r="34" customFormat="false" ht="15" hidden="false" customHeight="false" outlineLevel="0" collapsed="false">
      <c r="A34" s="4" t="s">
        <v>159</v>
      </c>
      <c r="B34" s="17" t="n">
        <f aca="false">B28/(1+$B$23)^3</f>
        <v>57402.0970489269</v>
      </c>
    </row>
    <row r="35" customFormat="false" ht="15" hidden="false" customHeight="false" outlineLevel="0" collapsed="false">
      <c r="A35" s="18" t="s">
        <v>160</v>
      </c>
      <c r="B35" s="56" t="n">
        <f aca="false">SUM(B31:B34)</f>
        <v>75965.101521015</v>
      </c>
    </row>
    <row r="36" customFormat="false" ht="15" hidden="false" customHeight="false" outlineLevel="0" collapsed="false">
      <c r="A36" s="4" t="s">
        <v>161</v>
      </c>
      <c r="B36" s="17" t="n">
        <f aca="false">G17</f>
        <v>22426.22</v>
      </c>
    </row>
    <row r="37" customFormat="false" ht="15" hidden="false" customHeight="false" outlineLevel="0" collapsed="false">
      <c r="A37" s="18" t="s">
        <v>162</v>
      </c>
      <c r="B37" s="56" t="n">
        <f aca="false">B35-B36</f>
        <v>53538.881521015</v>
      </c>
    </row>
    <row r="38" customFormat="false" ht="15" hidden="false" customHeight="false" outlineLevel="0" collapsed="false">
      <c r="A38" s="4" t="s">
        <v>163</v>
      </c>
      <c r="B38" s="57" t="n">
        <f aca="false">05_Balance_Sheet!D15/10</f>
        <v>29.468</v>
      </c>
    </row>
    <row r="39" customFormat="false" ht="15" hidden="false" customHeight="false" outlineLevel="0" collapsed="false">
      <c r="A39" s="18" t="s">
        <v>164</v>
      </c>
      <c r="B39" s="58" t="n">
        <f aca="false">B37/B38</f>
        <v>1816.84815803634</v>
      </c>
    </row>
  </sheetData>
  <mergeCells count="1">
    <mergeCell ref="A1:G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H21" activeCellId="0" sqref="H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16"/>
    <col collapsed="false" customWidth="true" hidden="false" outlineLevel="0" max="8" min="8" style="1" width="11.15"/>
  </cols>
  <sheetData>
    <row r="1" customFormat="false" ht="24.75" hidden="false" customHeight="true" outlineLevel="0" collapsed="false">
      <c r="A1" s="2" t="s">
        <v>165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59"/>
      <c r="B3" s="60" t="s">
        <v>166</v>
      </c>
      <c r="C3" s="59"/>
      <c r="D3" s="59"/>
      <c r="E3" s="59"/>
      <c r="F3" s="59"/>
      <c r="G3" s="15"/>
      <c r="H3" s="15"/>
    </row>
    <row r="4" customFormat="false" ht="15" hidden="false" customHeight="false" outlineLevel="0" collapsed="false">
      <c r="A4" s="61"/>
      <c r="B4" s="62" t="s">
        <v>167</v>
      </c>
      <c r="C4" s="63" t="n">
        <v>0.02</v>
      </c>
      <c r="D4" s="63" t="n">
        <v>0.025</v>
      </c>
      <c r="E4" s="63" t="n">
        <v>0.03</v>
      </c>
      <c r="F4" s="63" t="n">
        <v>0.035</v>
      </c>
    </row>
    <row r="5" customFormat="false" ht="15" hidden="false" customHeight="false" outlineLevel="0" collapsed="false">
      <c r="A5" s="61"/>
      <c r="B5" s="64" t="n">
        <v>0.13</v>
      </c>
      <c r="C5" s="65" t="n">
        <f aca="false">(
08_DCF!$B$11/(1+$B5)
+08_DCF!$C$11/(1+$B5)^2
+08_DCF!$D$11/(1+$B5)^3
+(08_DCF!$D$11*(1+C$4)/($B5-C$4))/(1+$B5)^3
-08_DCF!$B$36
)/08_DCF!$B$38</f>
        <v>2109.84567493496</v>
      </c>
      <c r="D5" s="65" t="n">
        <f aca="false">(
08_DCF!$B$11/(1+$B5)
+08_DCF!$C$11/(1+$B5)^2
+08_DCF!$D$11/(1+$B5)^3
+(08_DCF!$D$11*(1+D$4)/($B5-D$4))/(1+$B5)^3
-08_DCF!$B$36
)/08_DCF!$B$38</f>
        <v>2226.84382066997</v>
      </c>
      <c r="E5" s="65" t="n">
        <f aca="false">(
08_DCF!$B$11/(1+$B5)
+08_DCF!$C$11/(1+$B5)^2
+08_DCF!$D$11/(1+$B5)^3
+(08_DCF!$D$11*(1+E$4)/($B5-E$4))/(1+$B5)^3
-08_DCF!$B$36
)/08_DCF!$B$38</f>
        <v>2355.5417809785</v>
      </c>
      <c r="F5" s="65" t="n">
        <f aca="false">(
08_DCF!$B$11/(1+$B5)
+08_DCF!$C$11/(1+$B5)^2
+08_DCF!$D$11/(1+$B5)^3
+(08_DCF!$D$11*(1+F$4)/($B5-F$4))/(1+$B5)^3
-08_DCF!$B$36
)/08_DCF!$B$38</f>
        <v>2497.7868950037</v>
      </c>
    </row>
    <row r="6" customFormat="false" ht="15" hidden="false" customHeight="false" outlineLevel="0" collapsed="false">
      <c r="A6" s="61"/>
      <c r="B6" s="64" t="n">
        <v>0.14</v>
      </c>
      <c r="C6" s="65" t="n">
        <f aca="false">(
08_DCF!$B$11/(1+$B6)
+08_DCF!$C$11/(1+$B6)^2
+08_DCF!$D$11/(1+$B6)^3
+(08_DCF!$D$11*(1+C$4)/($B6-C$4))/(1+$B6)^3
-08_DCF!$B$36
)/08_DCF!$B$38</f>
        <v>1860.24069710094</v>
      </c>
      <c r="D6" s="65" t="n">
        <f aca="false">(
08_DCF!$B$11/(1+$B6)
+08_DCF!$C$11/(1+$B6)^2
+08_DCF!$D$11/(1+$B6)^3
+(08_DCF!$D$11*(1+D$4)/($B6-D$4))/(1+$B6)^3
-08_DCF!$B$36
)/08_DCF!$B$38</f>
        <v>1956.45265685324</v>
      </c>
      <c r="E6" s="65" t="n">
        <f aca="false">(
08_DCF!$B$11/(1+$B6)
+08_DCF!$C$11/(1+$B6)^2
+08_DCF!$D$11/(1+$B6)^3
+(08_DCF!$D$11*(1+E$4)/($B6-E$4))/(1+$B6)^3
-08_DCF!$B$36
)/08_DCF!$B$38</f>
        <v>2061.41115840121</v>
      </c>
      <c r="F6" s="65" t="n">
        <f aca="false">(
08_DCF!$B$11/(1+$B6)
+08_DCF!$C$11/(1+$B6)^2
+08_DCF!$D$11/(1+$B6)^3
+(08_DCF!$D$11*(1+F$4)/($B6-F$4))/(1+$B6)^3
-08_DCF!$B$36
)/08_DCF!$B$38</f>
        <v>2176.36570771565</v>
      </c>
    </row>
    <row r="7" customFormat="false" ht="15" hidden="false" customHeight="false" outlineLevel="0" collapsed="false">
      <c r="A7" s="61"/>
      <c r="B7" s="64" t="n">
        <v>0.15</v>
      </c>
      <c r="C7" s="65" t="n">
        <f aca="false">(
08_DCF!$B$11/(1+$B7)
+08_DCF!$C$11/(1+$B7)^2
+08_DCF!$D$11/(1+$B7)^3
+(08_DCF!$D$11*(1+C$4)/($B7-C$4))/(1+$B7)^3
-08_DCF!$B$36
)/08_DCF!$B$38</f>
        <v>1649.25911746237</v>
      </c>
      <c r="D7" s="65" t="n">
        <f aca="false">(
08_DCF!$B$11/(1+$B7)
+08_DCF!$C$11/(1+$B7)^2
+08_DCF!$D$11/(1+$B7)^3
+(08_DCF!$D$11*(1+D$4)/($B7-D$4))/(1+$B7)^3
-08_DCF!$B$36
)/08_DCF!$B$38</f>
        <v>1729.55047557497</v>
      </c>
      <c r="E7" s="66" t="n">
        <f aca="false">(
08_DCF!$B$11/(1+$B7)
+08_DCF!$C$11/(1+$B7)^2
+08_DCF!$D$11/(1+$B7)^3
+(08_DCF!$D$11*(1+E$4)/($B7-E$4))/(1+$B7)^3
-08_DCF!$B$36
)/08_DCF!$B$38</f>
        <v>1816.53278019695</v>
      </c>
      <c r="F7" s="65" t="n">
        <f aca="false">(
08_DCF!$B$11/(1+$B7)
+08_DCF!$C$11/(1+$B7)^2
+08_DCF!$D$11/(1+$B7)^3
+(08_DCF!$D$11*(1+F$4)/($B7-F$4))/(1+$B7)^3
-08_DCF!$B$36
)/08_DCF!$B$38</f>
        <v>1911.0787634817</v>
      </c>
    </row>
    <row r="8" customFormat="false" ht="15" hidden="false" customHeight="false" outlineLevel="0" collapsed="false">
      <c r="A8" s="61"/>
      <c r="B8" s="64" t="n">
        <v>0.16</v>
      </c>
      <c r="C8" s="65" t="n">
        <f aca="false">(
08_DCF!$B$11/(1+$B8)
+08_DCF!$C$11/(1+$B8)^2
+08_DCF!$D$11/(1+$B8)^3
+(08_DCF!$D$11*(1+C$4)/($B8-C$4))/(1+$B8)^3
-08_DCF!$B$36
)/08_DCF!$B$38</f>
        <v>1468.61780811383</v>
      </c>
      <c r="D8" s="65" t="n">
        <f aca="false">(
08_DCF!$B$11/(1+$B8)
+08_DCF!$C$11/(1+$B8)^2
+08_DCF!$D$11/(1+$B8)^3
+(08_DCF!$D$11*(1+D$4)/($B8-D$4))/(1+$B8)^3
-08_DCF!$B$36
)/08_DCF!$B$38</f>
        <v>1536.46627947644</v>
      </c>
      <c r="E8" s="65" t="n">
        <f aca="false">(
08_DCF!$B$11/(1+$B8)
+08_DCF!$C$11/(1+$B8)^2
+08_DCF!$D$11/(1+$B8)^3
+(08_DCF!$D$11*(1+E$4)/($B8-E$4))/(1+$B8)^3
-08_DCF!$B$36
)/08_DCF!$B$38</f>
        <v>1609.53386402079</v>
      </c>
      <c r="F8" s="65" t="n">
        <f aca="false">(
08_DCF!$B$11/(1+$B8)
+08_DCF!$C$11/(1+$B8)^2
+08_DCF!$D$11/(1+$B8)^3
+(08_DCF!$D$11*(1+F$4)/($B8-F$4))/(1+$B8)^3
-08_DCF!$B$36
)/08_DCF!$B$38</f>
        <v>1688.44685532869</v>
      </c>
    </row>
    <row r="9" customFormat="false" ht="15" hidden="false" customHeight="false" outlineLevel="0" collapsed="false">
      <c r="A9" s="61"/>
      <c r="B9" s="64" t="n">
        <v>0.17</v>
      </c>
      <c r="C9" s="65" t="n">
        <f aca="false">(
08_DCF!$B$11/(1+$B9)
+08_DCF!$C$11/(1+$B9)^2
+08_DCF!$D$11/(1+$B9)^3
+(08_DCF!$D$11*(1+C$4)/($B9-C$4))/(1+$B9)^3
-08_DCF!$B$36
)/08_DCF!$B$38</f>
        <v>1312.24273094216</v>
      </c>
      <c r="D9" s="65" t="n">
        <f aca="false">(
08_DCF!$B$11/(1+$B9)
+08_DCF!$C$11/(1+$B9)^2
+08_DCF!$D$11/(1+$B9)^3
+(08_DCF!$D$11*(1+D$4)/($B9-D$4))/(1+$B9)^3
-08_DCF!$B$36
)/08_DCF!$B$38</f>
        <v>1370.19719116195</v>
      </c>
      <c r="E9" s="65" t="n">
        <f aca="false">(
08_DCF!$B$11/(1+$B9)
+08_DCF!$C$11/(1+$B9)^2
+08_DCF!$D$11/(1+$B9)^3
+(08_DCF!$D$11*(1+E$4)/($B9-E$4))/(1+$B9)^3
-08_DCF!$B$36
)/08_DCF!$B$38</f>
        <v>1432.29125568316</v>
      </c>
      <c r="F9" s="65" t="n">
        <f aca="false">(
08_DCF!$B$11/(1+$B9)
+08_DCF!$C$11/(1+$B9)^2
+08_DCF!$D$11/(1+$B9)^3
+(08_DCF!$D$11*(1+F$4)/($B9-F$4))/(1+$B9)^3
-08_DCF!$B$36
)/08_DCF!$B$38</f>
        <v>1498.98488053927</v>
      </c>
    </row>
    <row r="10" customFormat="false" ht="15" hidden="false" customHeight="false" outlineLevel="0" collapsed="false">
      <c r="A10" s="61"/>
    </row>
    <row r="11" customFormat="false" ht="15" hidden="false" customHeight="false" outlineLevel="0" collapsed="false">
      <c r="H11" s="67"/>
      <c r="I11" s="68"/>
    </row>
  </sheetData>
  <mergeCells count="1">
    <mergeCell ref="A1:H1"/>
  </mergeCells>
  <conditionalFormatting sqref="C5:F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G44" activeCellId="0" sqref="G4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  <col collapsed="false" customWidth="true" hidden="false" outlineLevel="0" max="8" min="8" style="1" width="18"/>
  </cols>
  <sheetData>
    <row r="1" customFormat="false" ht="24.75" hidden="false" customHeight="true" outlineLevel="0" collapsed="false">
      <c r="A1" s="2" t="s">
        <v>168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62" t="s">
        <v>169</v>
      </c>
      <c r="B3" s="62" t="s">
        <v>28</v>
      </c>
      <c r="C3" s="62" t="s">
        <v>29</v>
      </c>
      <c r="D3" s="62" t="s">
        <v>30</v>
      </c>
      <c r="E3" s="62" t="s">
        <v>54</v>
      </c>
      <c r="F3" s="62" t="s">
        <v>55</v>
      </c>
      <c r="G3" s="62" t="s">
        <v>56</v>
      </c>
      <c r="H3" s="69"/>
      <c r="I3" s="69"/>
    </row>
    <row r="4" customFormat="false" ht="15" hidden="false" customHeight="false" outlineLevel="0" collapsed="false"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4" t="s">
        <v>170</v>
      </c>
      <c r="B5" s="71" t="n">
        <f aca="false">05_Balance_Sheet!B25</f>
        <v>3.31999999999243</v>
      </c>
      <c r="C5" s="71" t="n">
        <f aca="false">05_Balance_Sheet!C25</f>
        <v>3.47000000000116</v>
      </c>
      <c r="D5" s="71" t="n">
        <f aca="false">05_Balance_Sheet!D25</f>
        <v>0</v>
      </c>
      <c r="E5" s="71" t="n">
        <f aca="false">05_Balance_Sheet!E25</f>
        <v>-0.0400000000081491</v>
      </c>
      <c r="F5" s="71" t="n">
        <f aca="false">05_Balance_Sheet!F25</f>
        <v>-0.0400000000081491</v>
      </c>
      <c r="G5" s="71" t="n">
        <f aca="false">05_Balance_Sheet!G25</f>
        <v>-0.0400000000372529</v>
      </c>
      <c r="H5" s="72" t="str">
        <f aca="false" t="array" ref="H5:H5">IF(MAX(ABS(B5:G5))&lt;5,"OK","ERROR")</f>
        <v>OK</v>
      </c>
    </row>
    <row r="6" customFormat="false" ht="15" hidden="false" customHeight="false" outlineLevel="0" collapsed="false">
      <c r="A6" s="4" t="s">
        <v>171</v>
      </c>
      <c r="B6" s="73"/>
      <c r="C6" s="73"/>
      <c r="D6" s="73"/>
      <c r="E6" s="71" t="n">
        <f aca="false">06_Cash_Flow!E22-(06_Cash_Flow!E21+06_Cash_Flow!E20)</f>
        <v>0</v>
      </c>
      <c r="F6" s="71" t="n">
        <f aca="false">06_Cash_Flow!F22-(06_Cash_Flow!F21+06_Cash_Flow!F20)</f>
        <v>0</v>
      </c>
      <c r="G6" s="71" t="n">
        <f aca="false">06_Cash_Flow!G22-(06_Cash_Flow!G21+06_Cash_Flow!G20)</f>
        <v>0</v>
      </c>
      <c r="H6" s="72" t="str">
        <f aca="false" t="array" ref="H6:H6">IF(MAX(ABS(B6:G6))&lt;5,"OK","ERROR")</f>
        <v>OK</v>
      </c>
    </row>
    <row r="7" customFormat="false" ht="15" hidden="false" customHeight="false" outlineLevel="0" collapsed="false">
      <c r="A7" s="4" t="s">
        <v>172</v>
      </c>
      <c r="B7" s="73"/>
      <c r="C7" s="73"/>
      <c r="D7" s="73"/>
      <c r="E7" s="71" t="n">
        <f aca="false">07_Schedules!E9-(07_Schedules!E6+07_Schedules!E7-07_Schedules!E8)</f>
        <v>0</v>
      </c>
      <c r="F7" s="71" t="n">
        <f aca="false">07_Schedules!F9-(07_Schedules!F6+07_Schedules!F7-07_Schedules!F8)</f>
        <v>0</v>
      </c>
      <c r="G7" s="71" t="n">
        <f aca="false">07_Schedules!G9-(07_Schedules!G6+07_Schedules!G7-07_Schedules!G8)</f>
        <v>0</v>
      </c>
      <c r="H7" s="72" t="str">
        <f aca="false" t="array" ref="H7:H7">IF(MAX(ABS(B7:G7))&lt;5,"OK","ERROR")</f>
        <v>OK</v>
      </c>
    </row>
    <row r="8" customFormat="false" ht="15" hidden="false" customHeight="false" outlineLevel="0" collapsed="false">
      <c r="A8" s="4" t="s">
        <v>173</v>
      </c>
      <c r="B8" s="73"/>
      <c r="C8" s="73"/>
      <c r="D8" s="73"/>
      <c r="E8" s="71" t="n">
        <f aca="false">07_Schedules!E14-(07_Schedules!E12+07_Schedules!E13)</f>
        <v>0</v>
      </c>
      <c r="F8" s="71" t="n">
        <f aca="false">07_Schedules!F14-(07_Schedules!F12+07_Schedules!F13)</f>
        <v>0</v>
      </c>
      <c r="G8" s="71" t="n">
        <f aca="false">07_Schedules!G14-(07_Schedules!G12+07_Schedules!G13)</f>
        <v>0</v>
      </c>
      <c r="H8" s="72" t="str">
        <f aca="false" t="array" ref="H8:H8">IF(MAX(ABS(B8:G8))&lt;5,"OK","ERROR")</f>
        <v>OK</v>
      </c>
    </row>
    <row r="9" customFormat="false" ht="15" hidden="false" customHeight="false" outlineLevel="0" collapsed="false">
      <c r="A9" s="4" t="s">
        <v>174</v>
      </c>
      <c r="B9" s="71" t="n">
        <f aca="false">07_Schedules!B25-(07_Schedules!B22+07_Schedules!B23-07_Schedules!B24)</f>
        <v>0</v>
      </c>
      <c r="C9" s="71" t="n">
        <f aca="false">07_Schedules!C25-(07_Schedules!C22+07_Schedules!C23-07_Schedules!C24)</f>
        <v>0</v>
      </c>
      <c r="D9" s="71" t="n">
        <f aca="false">07_Schedules!D25-(07_Schedules!D22+07_Schedules!D23-07_Schedules!D24)</f>
        <v>0</v>
      </c>
      <c r="E9" s="71" t="n">
        <f aca="false">07_Schedules!E25-(07_Schedules!E22+07_Schedules!E23-07_Schedules!E24)</f>
        <v>0</v>
      </c>
      <c r="F9" s="71" t="n">
        <f aca="false">07_Schedules!F25-(07_Schedules!F22+07_Schedules!F23-07_Schedules!F24)</f>
        <v>0</v>
      </c>
      <c r="G9" s="71" t="n">
        <f aca="false">07_Schedules!G25-(07_Schedules!G22+07_Schedules!G23-07_Schedules!G24)</f>
        <v>0</v>
      </c>
      <c r="H9" s="72" t="str">
        <f aca="false" t="array" ref="H9:H9">IF(MAX(ABS(B9:G9))&lt;5,"OK","ERROR")</f>
        <v>OK</v>
      </c>
    </row>
    <row r="10" customFormat="false" ht="15" hidden="false" customHeight="false" outlineLevel="0" collapsed="false">
      <c r="B10" s="70"/>
    </row>
    <row r="11" customFormat="false" ht="16.4" hidden="false" customHeight="false" outlineLevel="0" collapsed="false">
      <c r="A11" s="3" t="s">
        <v>175</v>
      </c>
      <c r="H11" s="74" t="str">
        <f aca="false">IF(COUNTIF(H5:H9,"ERROR")=0,"MODEL OK","CHECK REQUIRED")</f>
        <v>MODEL OK</v>
      </c>
    </row>
    <row r="14" customFormat="false" ht="15" hidden="false" customHeight="false" outlineLevel="0" collapsed="false">
      <c r="A14" s="15" t="s">
        <v>176</v>
      </c>
      <c r="B14" s="75"/>
    </row>
    <row r="15" customFormat="false" ht="15" hidden="false" customHeight="false" outlineLevel="0" collapsed="false">
      <c r="A15" s="4" t="s">
        <v>177</v>
      </c>
      <c r="B15" s="76" t="n">
        <f aca="false">04_Income_Statement!E5/04_Income_Statement!D5-1</f>
        <v>0.189114898295767</v>
      </c>
    </row>
    <row r="16" customFormat="false" ht="15" hidden="false" customHeight="false" outlineLevel="0" collapsed="false">
      <c r="A16" s="4" t="s">
        <v>178</v>
      </c>
      <c r="B16" s="76" t="n">
        <f aca="false">03_Drivers!G26</f>
        <v>0.192288394517641</v>
      </c>
    </row>
    <row r="17" customFormat="false" ht="15" hidden="false" customHeight="false" outlineLevel="0" collapsed="false">
      <c r="A17" s="4" t="s">
        <v>179</v>
      </c>
      <c r="B17" s="76" t="n">
        <f aca="false">07_Schedules!G7/04_Income_Statement!G5</f>
        <v>0.0764515103958633</v>
      </c>
    </row>
    <row r="18" customFormat="false" ht="15" hidden="false" customHeight="false" outlineLevel="0" collapsed="false">
      <c r="A18" s="4" t="s">
        <v>180</v>
      </c>
      <c r="B18" s="77" t="n">
        <f aca="false">07_Schedules!G14/03_Drivers!G25</f>
        <v>1.144285379661</v>
      </c>
    </row>
    <row r="19" customFormat="false" ht="15" hidden="false" customHeight="false" outlineLevel="0" collapsed="false">
      <c r="A19" s="4" t="s">
        <v>181</v>
      </c>
      <c r="B19" s="76" t="n">
        <f aca="false">08_DCF!B34/08_DCF!B35</f>
        <v>0.755637732321692</v>
      </c>
    </row>
    <row r="20" customFormat="false" ht="15" hidden="false" customHeight="false" outlineLevel="0" collapsed="false">
      <c r="A20" s="4" t="s">
        <v>154</v>
      </c>
      <c r="B20" s="78" t="n">
        <f aca="false">08_DCF!D11</f>
        <v>10169.4743874422</v>
      </c>
    </row>
  </sheetData>
  <mergeCells count="1">
    <mergeCell ref="A1:H1"/>
  </mergeCells>
  <conditionalFormatting sqref="H5:H9">
    <cfRule type="expression" priority="2" aboveAverage="0" equalAverage="0" bottom="0" percent="0" rank="0" text="" dxfId="0">
      <formula>H5="OK"</formula>
    </cfRule>
    <cfRule type="expression" priority="3" aboveAverage="0" equalAverage="0" bottom="0" percent="0" rank="0" text="" dxfId="1">
      <formula>H5="ERROR"</formula>
    </cfRule>
  </conditionalFormatting>
  <conditionalFormatting sqref="H11">
    <cfRule type="expression" priority="4" aboveAverage="0" equalAverage="0" bottom="0" percent="0" rank="0" text="" dxfId="0">
      <formula>H11="MODEL OK"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5" activeCellId="0" sqref="G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48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60"/>
    <col collapsed="false" customWidth="true" hidden="false" outlineLevel="0" max="14" min="14" style="1" width="9.29"/>
    <col collapsed="false" customWidth="true" hidden="false" outlineLevel="0" max="15" min="15" style="1" width="10.71"/>
  </cols>
  <sheetData>
    <row r="1" customFormat="false" ht="27.75" hidden="false" customHeight="true" outlineLevel="0" collapsed="false">
      <c r="A1" s="79" t="s">
        <v>182</v>
      </c>
      <c r="B1" s="79" t="s">
        <v>183</v>
      </c>
      <c r="C1" s="79" t="s">
        <v>184</v>
      </c>
      <c r="D1" s="79" t="s">
        <v>185</v>
      </c>
      <c r="E1" s="79" t="s">
        <v>186</v>
      </c>
      <c r="F1" s="79" t="s">
        <v>187</v>
      </c>
      <c r="G1" s="79" t="s">
        <v>188</v>
      </c>
      <c r="H1" s="79" t="s">
        <v>189</v>
      </c>
    </row>
    <row r="2" customFormat="false" ht="15" hidden="false" customHeight="false" outlineLevel="0" collapsed="false">
      <c r="A2" s="80" t="s">
        <v>190</v>
      </c>
      <c r="B2" s="80" t="s">
        <v>191</v>
      </c>
      <c r="C2" s="80" t="s">
        <v>192</v>
      </c>
      <c r="D2" s="80" t="s">
        <v>193</v>
      </c>
      <c r="E2" s="80" t="s">
        <v>194</v>
      </c>
      <c r="F2" s="80" t="s">
        <v>195</v>
      </c>
      <c r="G2" s="81" t="s">
        <v>196</v>
      </c>
      <c r="H2" s="82"/>
    </row>
    <row r="3" customFormat="false" ht="15" hidden="false" customHeight="false" outlineLevel="0" collapsed="false">
      <c r="A3" s="80" t="s">
        <v>197</v>
      </c>
      <c r="B3" s="80" t="s">
        <v>191</v>
      </c>
      <c r="C3" s="80" t="s">
        <v>198</v>
      </c>
      <c r="D3" s="80" t="s">
        <v>199</v>
      </c>
      <c r="E3" s="80" t="s">
        <v>200</v>
      </c>
      <c r="F3" s="80" t="s">
        <v>195</v>
      </c>
      <c r="G3" s="81" t="s">
        <v>196</v>
      </c>
      <c r="H3" s="82"/>
    </row>
    <row r="4" customFormat="false" ht="15" hidden="false" customHeight="false" outlineLevel="0" collapsed="false">
      <c r="A4" s="80" t="s">
        <v>201</v>
      </c>
      <c r="B4" s="80" t="s">
        <v>191</v>
      </c>
      <c r="C4" s="80" t="s">
        <v>202</v>
      </c>
      <c r="D4" s="80" t="s">
        <v>203</v>
      </c>
      <c r="E4" s="80" t="s">
        <v>204</v>
      </c>
      <c r="F4" s="80" t="s">
        <v>205</v>
      </c>
      <c r="G4" s="81" t="s">
        <v>196</v>
      </c>
      <c r="H4" s="82"/>
    </row>
    <row r="5" customFormat="false" ht="15" hidden="false" customHeight="false" outlineLevel="0" collapsed="false">
      <c r="A5" s="80" t="s">
        <v>206</v>
      </c>
      <c r="B5" s="80" t="s">
        <v>191</v>
      </c>
      <c r="C5" s="80" t="s">
        <v>207</v>
      </c>
      <c r="D5" s="80" t="s">
        <v>193</v>
      </c>
      <c r="E5" s="80" t="s">
        <v>208</v>
      </c>
      <c r="F5" s="80" t="s">
        <v>205</v>
      </c>
      <c r="G5" s="81" t="s">
        <v>196</v>
      </c>
      <c r="H5" s="82"/>
    </row>
    <row r="6" customFormat="false" ht="15" hidden="false" customHeight="false" outlineLevel="0" collapsed="false">
      <c r="A6" s="80" t="s">
        <v>209</v>
      </c>
      <c r="B6" s="80" t="s">
        <v>210</v>
      </c>
      <c r="C6" s="80" t="s">
        <v>211</v>
      </c>
      <c r="D6" s="80" t="s">
        <v>193</v>
      </c>
      <c r="E6" s="80" t="s">
        <v>212</v>
      </c>
      <c r="F6" s="80" t="s">
        <v>213</v>
      </c>
      <c r="G6" s="81" t="s">
        <v>196</v>
      </c>
      <c r="H6" s="82"/>
    </row>
    <row r="7" customFormat="false" ht="15" hidden="false" customHeight="false" outlineLevel="0" collapsed="false">
      <c r="A7" s="80" t="s">
        <v>214</v>
      </c>
      <c r="B7" s="80" t="s">
        <v>210</v>
      </c>
      <c r="C7" s="80" t="s">
        <v>215</v>
      </c>
      <c r="D7" s="80" t="s">
        <v>216</v>
      </c>
      <c r="E7" s="80" t="s">
        <v>217</v>
      </c>
      <c r="F7" s="80" t="s">
        <v>205</v>
      </c>
      <c r="G7" s="81" t="s">
        <v>196</v>
      </c>
      <c r="H7" s="82"/>
    </row>
    <row r="8" customFormat="false" ht="15" hidden="false" customHeight="false" outlineLevel="0" collapsed="false">
      <c r="A8" s="80" t="s">
        <v>218</v>
      </c>
      <c r="B8" s="80" t="s">
        <v>210</v>
      </c>
      <c r="C8" s="80" t="s">
        <v>219</v>
      </c>
      <c r="D8" s="80" t="s">
        <v>193</v>
      </c>
      <c r="E8" s="80" t="s">
        <v>220</v>
      </c>
      <c r="F8" s="80" t="s">
        <v>205</v>
      </c>
      <c r="G8" s="81" t="s">
        <v>196</v>
      </c>
      <c r="H8" s="82"/>
    </row>
    <row r="9" customFormat="false" ht="15" hidden="false" customHeight="false" outlineLevel="0" collapsed="false">
      <c r="A9" s="80" t="s">
        <v>221</v>
      </c>
      <c r="B9" s="80" t="s">
        <v>19</v>
      </c>
      <c r="C9" s="80" t="s">
        <v>222</v>
      </c>
      <c r="D9" s="83" t="n">
        <v>46276</v>
      </c>
      <c r="E9" s="80" t="s">
        <v>223</v>
      </c>
      <c r="F9" s="80" t="s">
        <v>224</v>
      </c>
      <c r="G9" s="81" t="s">
        <v>196</v>
      </c>
      <c r="H9" s="82"/>
    </row>
    <row r="10" customFormat="false" ht="15" hidden="false" customHeight="false" outlineLevel="0" collapsed="false">
      <c r="A10" s="80" t="s">
        <v>225</v>
      </c>
      <c r="B10" s="80" t="s">
        <v>19</v>
      </c>
      <c r="C10" s="80" t="s">
        <v>226</v>
      </c>
      <c r="D10" s="83" t="n">
        <v>46023</v>
      </c>
      <c r="E10" s="80" t="s">
        <v>227</v>
      </c>
      <c r="F10" s="80" t="s">
        <v>228</v>
      </c>
      <c r="G10" s="81" t="s">
        <v>196</v>
      </c>
      <c r="H10" s="82"/>
    </row>
    <row r="11" customFormat="false" ht="15" hidden="false" customHeight="false" outlineLevel="0" collapsed="false">
      <c r="A11" s="80" t="s">
        <v>229</v>
      </c>
      <c r="B11" s="80" t="s">
        <v>19</v>
      </c>
      <c r="C11" s="80" t="s">
        <v>230</v>
      </c>
      <c r="D11" s="83" t="n">
        <v>46266</v>
      </c>
      <c r="E11" s="80" t="s">
        <v>231</v>
      </c>
      <c r="F11" s="80" t="s">
        <v>224</v>
      </c>
      <c r="G11" s="81" t="s">
        <v>196</v>
      </c>
      <c r="H11" s="82"/>
      <c r="L11" s="69"/>
      <c r="M11" s="69"/>
      <c r="N11" s="69"/>
      <c r="O11" s="69"/>
      <c r="P11" s="69"/>
      <c r="Q11" s="69"/>
    </row>
    <row r="12" customFormat="false" ht="15" hidden="false" customHeight="false" outlineLevel="0" collapsed="false">
      <c r="A12" s="80" t="s">
        <v>232</v>
      </c>
      <c r="B12" s="80" t="s">
        <v>19</v>
      </c>
      <c r="C12" s="80" t="s">
        <v>233</v>
      </c>
      <c r="D12" s="83" t="n">
        <v>46276</v>
      </c>
      <c r="E12" s="80" t="s">
        <v>234</v>
      </c>
      <c r="F12" s="80" t="s">
        <v>224</v>
      </c>
      <c r="G12" s="81" t="s">
        <v>196</v>
      </c>
      <c r="H12" s="80" t="s">
        <v>235</v>
      </c>
      <c r="L12" s="70"/>
      <c r="M12" s="70"/>
    </row>
    <row r="13" customFormat="false" ht="15" hidden="false" customHeight="false" outlineLevel="0" collapsed="false">
      <c r="L13" s="70"/>
      <c r="M13" s="70"/>
    </row>
    <row r="14" customFormat="false" ht="15" hidden="false" customHeight="false" outlineLevel="0" collapsed="false">
      <c r="L14" s="70"/>
      <c r="M14" s="70"/>
    </row>
    <row r="15" customFormat="false" ht="21.75" hidden="false" customHeight="true" outlineLevel="0" collapsed="false">
      <c r="A15" s="59" t="s">
        <v>236</v>
      </c>
      <c r="B15" s="59" t="s">
        <v>237</v>
      </c>
      <c r="C15" s="59" t="s">
        <v>238</v>
      </c>
      <c r="D15" s="59" t="s">
        <v>239</v>
      </c>
      <c r="E15" s="59"/>
      <c r="F15" s="59"/>
      <c r="G15" s="59"/>
      <c r="H15" s="59"/>
    </row>
    <row r="16" customFormat="false" ht="15" hidden="false" customHeight="false" outlineLevel="0" collapsed="false">
      <c r="A16" s="80" t="s">
        <v>240</v>
      </c>
      <c r="B16" s="80" t="s">
        <v>241</v>
      </c>
      <c r="C16" s="80" t="s">
        <v>242</v>
      </c>
      <c r="D16" s="80" t="s">
        <v>243</v>
      </c>
    </row>
    <row r="17" customFormat="false" ht="15" hidden="false" customHeight="false" outlineLevel="0" collapsed="false">
      <c r="A17" s="80" t="s">
        <v>244</v>
      </c>
      <c r="B17" s="80" t="s">
        <v>245</v>
      </c>
      <c r="C17" s="80" t="s">
        <v>246</v>
      </c>
      <c r="D17" s="80" t="s">
        <v>243</v>
      </c>
    </row>
    <row r="18" customFormat="false" ht="15" hidden="false" customHeight="false" outlineLevel="0" collapsed="false">
      <c r="A18" s="80" t="s">
        <v>247</v>
      </c>
      <c r="B18" s="80" t="s">
        <v>248</v>
      </c>
      <c r="C18" s="80" t="s">
        <v>249</v>
      </c>
      <c r="D18" s="80" t="s">
        <v>243</v>
      </c>
    </row>
    <row r="19" customFormat="false" ht="15" hidden="false" customHeight="false" outlineLevel="0" collapsed="false">
      <c r="A19" s="80" t="s">
        <v>250</v>
      </c>
      <c r="B19" s="80" t="s">
        <v>251</v>
      </c>
      <c r="C19" s="84" t="n">
        <v>0.8</v>
      </c>
      <c r="D19" s="80" t="s">
        <v>243</v>
      </c>
    </row>
    <row r="20" customFormat="false" ht="15" hidden="false" customHeight="false" outlineLevel="0" collapsed="false">
      <c r="A20" s="80" t="s">
        <v>252</v>
      </c>
      <c r="B20" s="80" t="s">
        <v>253</v>
      </c>
      <c r="C20" s="84" t="n">
        <v>0.81</v>
      </c>
      <c r="D20" s="80" t="s">
        <v>243</v>
      </c>
    </row>
    <row r="21" customFormat="false" ht="15" hidden="false" customHeight="false" outlineLevel="0" collapsed="false">
      <c r="A21" s="80" t="s">
        <v>254</v>
      </c>
      <c r="B21" s="80" t="s">
        <v>255</v>
      </c>
      <c r="C21" s="84" t="n">
        <v>0.82</v>
      </c>
      <c r="D21" s="80" t="s">
        <v>243</v>
      </c>
    </row>
    <row r="22" customFormat="false" ht="15" hidden="false" customHeight="false" outlineLevel="0" collapsed="false">
      <c r="A22" s="80" t="s">
        <v>256</v>
      </c>
      <c r="B22" s="80" t="s">
        <v>257</v>
      </c>
      <c r="C22" s="80" t="s">
        <v>258</v>
      </c>
      <c r="D22" s="80" t="s">
        <v>243</v>
      </c>
    </row>
    <row r="23" customFormat="false" ht="15" hidden="false" customHeight="false" outlineLevel="0" collapsed="false">
      <c r="A23" s="80" t="s">
        <v>259</v>
      </c>
      <c r="B23" s="80" t="s">
        <v>260</v>
      </c>
      <c r="C23" s="80" t="s">
        <v>258</v>
      </c>
      <c r="D23" s="80" t="s">
        <v>243</v>
      </c>
    </row>
    <row r="24" customFormat="false" ht="28.35" hidden="false" customHeight="false" outlineLevel="0" collapsed="false">
      <c r="A24" s="80" t="s">
        <v>261</v>
      </c>
      <c r="B24" s="80" t="s">
        <v>262</v>
      </c>
      <c r="C24" s="84" t="n">
        <v>0.007</v>
      </c>
      <c r="D24" s="80" t="s">
        <v>243</v>
      </c>
    </row>
    <row r="25" customFormat="false" ht="28.35" hidden="false" customHeight="false" outlineLevel="0" collapsed="false">
      <c r="A25" s="80" t="s">
        <v>263</v>
      </c>
      <c r="B25" s="80" t="s">
        <v>264</v>
      </c>
      <c r="C25" s="84" t="n">
        <v>0.06</v>
      </c>
      <c r="D25" s="80" t="s">
        <v>265</v>
      </c>
    </row>
    <row r="26" customFormat="false" ht="15" hidden="false" customHeight="false" outlineLevel="0" collapsed="false">
      <c r="A26" s="80" t="s">
        <v>266</v>
      </c>
      <c r="B26" s="80" t="s">
        <v>267</v>
      </c>
      <c r="C26" s="80" t="s">
        <v>268</v>
      </c>
      <c r="D26" s="80" t="s">
        <v>243</v>
      </c>
    </row>
    <row r="27" customFormat="false" ht="15" hidden="false" customHeight="false" outlineLevel="0" collapsed="false">
      <c r="A27" s="80" t="s">
        <v>269</v>
      </c>
      <c r="B27" s="80" t="s">
        <v>270</v>
      </c>
      <c r="C27" s="80" t="s">
        <v>271</v>
      </c>
      <c r="D27" s="80" t="s">
        <v>243</v>
      </c>
    </row>
    <row r="28" customFormat="false" ht="28.35" hidden="false" customHeight="false" outlineLevel="0" collapsed="false">
      <c r="A28" s="80" t="s">
        <v>272</v>
      </c>
      <c r="B28" s="80" t="s">
        <v>273</v>
      </c>
      <c r="C28" s="84" t="n">
        <v>0.075</v>
      </c>
      <c r="D28" s="80" t="s">
        <v>265</v>
      </c>
    </row>
    <row r="29" customFormat="false" ht="28.35" hidden="false" customHeight="false" outlineLevel="0" collapsed="false">
      <c r="A29" s="80" t="s">
        <v>274</v>
      </c>
      <c r="B29" s="80" t="s">
        <v>275</v>
      </c>
      <c r="C29" s="84" t="n">
        <v>0.25</v>
      </c>
      <c r="D29" s="80" t="s">
        <v>265</v>
      </c>
    </row>
    <row r="30" customFormat="false" ht="28.35" hidden="false" customHeight="false" outlineLevel="0" collapsed="false">
      <c r="A30" s="80" t="s">
        <v>276</v>
      </c>
      <c r="B30" s="80" t="s">
        <v>277</v>
      </c>
      <c r="C30" s="84" t="n">
        <v>0.08</v>
      </c>
      <c r="D30" s="80" t="s">
        <v>265</v>
      </c>
    </row>
    <row r="31" customFormat="false" ht="28.35" hidden="false" customHeight="false" outlineLevel="0" collapsed="false">
      <c r="A31" s="80" t="s">
        <v>278</v>
      </c>
      <c r="B31" s="80" t="s">
        <v>279</v>
      </c>
      <c r="C31" s="84" t="n">
        <v>0.05</v>
      </c>
      <c r="D31" s="80" t="s">
        <v>265</v>
      </c>
    </row>
    <row r="32" customFormat="false" ht="28.35" hidden="false" customHeight="false" outlineLevel="0" collapsed="false">
      <c r="A32" s="80" t="s">
        <v>280</v>
      </c>
      <c r="B32" s="80" t="s">
        <v>281</v>
      </c>
      <c r="C32" s="84" t="n">
        <v>0.08</v>
      </c>
      <c r="D32" s="80" t="s">
        <v>265</v>
      </c>
    </row>
    <row r="33" customFormat="false" ht="28.35" hidden="false" customHeight="false" outlineLevel="0" collapsed="false">
      <c r="A33" s="80" t="s">
        <v>282</v>
      </c>
      <c r="B33" s="80" t="s">
        <v>283</v>
      </c>
      <c r="C33" s="84" t="n">
        <v>0.2</v>
      </c>
      <c r="D33" s="80" t="s">
        <v>265</v>
      </c>
    </row>
    <row r="34" customFormat="false" ht="15" hidden="false" customHeight="false" outlineLevel="0" collapsed="false">
      <c r="A34" s="80" t="s">
        <v>284</v>
      </c>
      <c r="B34" s="80" t="s">
        <v>285</v>
      </c>
      <c r="C34" s="84" t="n">
        <v>0.03</v>
      </c>
      <c r="D34" s="80" t="s">
        <v>286</v>
      </c>
    </row>
    <row r="35" customFormat="false" ht="28.35" hidden="false" customHeight="false" outlineLevel="0" collapsed="false">
      <c r="A35" s="80" t="s">
        <v>287</v>
      </c>
      <c r="B35" s="80" t="s">
        <v>144</v>
      </c>
      <c r="C35" s="85" t="n">
        <v>1.22</v>
      </c>
      <c r="D35" s="80" t="s">
        <v>288</v>
      </c>
    </row>
    <row r="36" customFormat="false" ht="28.35" hidden="false" customHeight="false" outlineLevel="0" collapsed="false">
      <c r="A36" s="80" t="s">
        <v>289</v>
      </c>
      <c r="B36" s="80" t="s">
        <v>290</v>
      </c>
      <c r="C36" s="84" t="n">
        <v>0.0708</v>
      </c>
      <c r="D36" s="80" t="s">
        <v>291</v>
      </c>
    </row>
    <row r="37" customFormat="false" ht="15" hidden="false" customHeight="false" outlineLevel="0" collapsed="false">
      <c r="A37" s="80" t="s">
        <v>292</v>
      </c>
      <c r="B37" s="80" t="s">
        <v>293</v>
      </c>
      <c r="C37" s="84" t="n">
        <v>0.0702</v>
      </c>
      <c r="D37" s="80" t="s">
        <v>294</v>
      </c>
    </row>
    <row r="40" customFormat="false" ht="21.75" hidden="false" customHeight="true" outlineLevel="0" collapsed="false">
      <c r="A40" s="86" t="s">
        <v>295</v>
      </c>
      <c r="B40" s="86"/>
      <c r="C40" s="86"/>
      <c r="D40" s="86"/>
      <c r="E40" s="86"/>
      <c r="F40" s="86"/>
      <c r="G40" s="86"/>
      <c r="H40" s="86"/>
    </row>
    <row r="42" customFormat="false" ht="30" hidden="false" customHeight="true" outlineLevel="0" collapsed="false">
      <c r="A42" s="80" t="s">
        <v>296</v>
      </c>
    </row>
    <row r="43" customFormat="false" ht="30" hidden="false" customHeight="true" outlineLevel="0" collapsed="false">
      <c r="A43" s="80" t="s">
        <v>297</v>
      </c>
    </row>
    <row r="44" customFormat="false" ht="30" hidden="false" customHeight="true" outlineLevel="0" collapsed="false">
      <c r="A44" s="80" t="s">
        <v>298</v>
      </c>
    </row>
    <row r="45" customFormat="false" ht="30" hidden="false" customHeight="true" outlineLevel="0" collapsed="false">
      <c r="A45" s="80" t="s">
        <v>299</v>
      </c>
    </row>
    <row r="46" customFormat="false" ht="30" hidden="false" customHeight="true" outlineLevel="0" collapsed="false">
      <c r="A46" s="80" t="s">
        <v>300</v>
      </c>
    </row>
    <row r="47" customFormat="false" ht="30" hidden="false" customHeight="true" outlineLevel="0" collapsed="false">
      <c r="A47" s="80" t="s">
        <v>301</v>
      </c>
    </row>
    <row r="48" customFormat="false" ht="30" hidden="false" customHeight="true" outlineLevel="0" collapsed="false">
      <c r="A48" s="80" t="s">
        <v>302</v>
      </c>
    </row>
    <row r="49" customFormat="false" ht="30" hidden="false" customHeight="true" outlineLevel="0" collapsed="false">
      <c r="A49" s="80" t="s">
        <v>303</v>
      </c>
    </row>
    <row r="50" customFormat="false" ht="30" hidden="false" customHeight="true" outlineLevel="0" collapsed="false">
      <c r="A50" s="87" t="s">
        <v>304</v>
      </c>
      <c r="B50" s="87"/>
      <c r="C50" s="87"/>
      <c r="D50" s="87"/>
      <c r="E50" s="87"/>
      <c r="F50" s="87"/>
      <c r="G50" s="87"/>
      <c r="H50" s="87"/>
    </row>
  </sheetData>
  <mergeCells count="1">
    <mergeCell ref="A50:H50"/>
  </mergeCells>
  <hyperlinks>
    <hyperlink ref="G2" r:id="rId1" display="Open source"/>
    <hyperlink ref="G3" r:id="rId2" display="Open source"/>
    <hyperlink ref="G4" r:id="rId3" display="Open source"/>
    <hyperlink ref="G5" r:id="rId4" display="Open source"/>
    <hyperlink ref="G6" r:id="rId5" display="Open source"/>
    <hyperlink ref="G7" r:id="rId6" display="Open source"/>
    <hyperlink ref="G8" r:id="rId7" display="Open source"/>
    <hyperlink ref="G9" r:id="rId8" display="Open source"/>
    <hyperlink ref="G10" r:id="rId9" display="Open source"/>
    <hyperlink ref="G11" r:id="rId10" display="Open source"/>
    <hyperlink ref="G12" r:id="rId11" display="Open source"/>
  </hyperlink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D63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6" activeCellId="0" sqref="A3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4"/>
  </cols>
  <sheetData>
    <row r="1" customFormat="false" ht="18.55" hidden="false" customHeight="false" outlineLevel="0" collapsed="false">
      <c r="A1" s="88" t="s">
        <v>305</v>
      </c>
      <c r="B1" s="89"/>
      <c r="C1" s="89"/>
      <c r="D1" s="89"/>
    </row>
    <row r="2" customFormat="false" ht="15" hidden="false" customHeight="false" outlineLevel="0" collapsed="false">
      <c r="A2" s="89"/>
      <c r="B2" s="89"/>
      <c r="C2" s="89"/>
      <c r="D2" s="89"/>
    </row>
    <row r="3" customFormat="false" ht="15" hidden="false" customHeight="false" outlineLevel="0" collapsed="false">
      <c r="A3" s="90"/>
      <c r="B3" s="91" t="s">
        <v>306</v>
      </c>
      <c r="C3" s="92" t="s">
        <v>307</v>
      </c>
      <c r="D3" s="91" t="s">
        <v>308</v>
      </c>
    </row>
    <row r="4" customFormat="false" ht="15" hidden="false" customHeight="false" outlineLevel="0" collapsed="false">
      <c r="A4" s="89"/>
      <c r="B4" s="89"/>
      <c r="C4" s="89"/>
      <c r="D4" s="89"/>
    </row>
    <row r="5" customFormat="false" ht="19.5" hidden="false" customHeight="true" outlineLevel="0" collapsed="false">
      <c r="A5" s="14" t="s">
        <v>309</v>
      </c>
      <c r="B5" s="15"/>
      <c r="C5" s="15"/>
      <c r="D5" s="15"/>
    </row>
    <row r="6" customFormat="false" ht="15" hidden="false" customHeight="false" outlineLevel="0" collapsed="false">
      <c r="A6" s="4" t="s">
        <v>310</v>
      </c>
      <c r="B6" s="16" t="n">
        <v>1000</v>
      </c>
      <c r="C6" s="16" t="n">
        <v>0.1</v>
      </c>
      <c r="D6" s="17" t="n">
        <f aca="false">B6*(1+C6)</f>
        <v>1100</v>
      </c>
    </row>
    <row r="7" customFormat="false" ht="15" hidden="false" customHeight="false" outlineLevel="0" collapsed="false">
      <c r="A7" s="4" t="s">
        <v>311</v>
      </c>
      <c r="B7" s="16" t="n">
        <v>50</v>
      </c>
      <c r="C7" s="16" t="n">
        <v>0.05</v>
      </c>
      <c r="D7" s="17" t="n">
        <f aca="false">B7*(1+C7)</f>
        <v>52.5</v>
      </c>
    </row>
    <row r="8" customFormat="false" ht="15" hidden="false" customHeight="false" outlineLevel="0" collapsed="false">
      <c r="A8" s="4" t="s">
        <v>312</v>
      </c>
      <c r="B8" s="16" t="n">
        <v>30</v>
      </c>
      <c r="C8" s="16" t="n">
        <v>0.05</v>
      </c>
      <c r="D8" s="17" t="n">
        <f aca="false">B8*(1+C8)</f>
        <v>31.5</v>
      </c>
    </row>
    <row r="9" customFormat="false" ht="15" hidden="false" customHeight="false" outlineLevel="0" collapsed="false">
      <c r="A9" s="4" t="s">
        <v>313</v>
      </c>
      <c r="B9" s="16" t="n">
        <v>10000</v>
      </c>
      <c r="C9" s="16" t="n">
        <v>0.05</v>
      </c>
      <c r="D9" s="17" t="n">
        <f aca="false">B9*(1+C9)</f>
        <v>10500</v>
      </c>
    </row>
    <row r="10" customFormat="false" ht="15" hidden="false" customHeight="false" outlineLevel="0" collapsed="false">
      <c r="A10" s="4" t="s">
        <v>314</v>
      </c>
      <c r="B10" s="16" t="n">
        <v>2000</v>
      </c>
      <c r="C10" s="16" t="n">
        <v>0</v>
      </c>
      <c r="D10" s="17" t="n">
        <f aca="false">B10*(1+C10)</f>
        <v>2000</v>
      </c>
    </row>
    <row r="11" customFormat="false" ht="15" hidden="false" customHeight="false" outlineLevel="0" collapsed="false">
      <c r="A11" s="4" t="s">
        <v>315</v>
      </c>
      <c r="B11" s="16" t="n">
        <v>1000</v>
      </c>
      <c r="C11" s="16" t="n">
        <v>0</v>
      </c>
      <c r="D11" s="17" t="n">
        <f aca="false">B11*(1+C11)</f>
        <v>1000</v>
      </c>
    </row>
    <row r="12" customFormat="false" ht="15" hidden="false" customHeight="false" outlineLevel="0" collapsed="false">
      <c r="A12" s="4" t="s">
        <v>275</v>
      </c>
      <c r="B12" s="45" t="n">
        <v>0.25</v>
      </c>
      <c r="C12" s="45" t="n">
        <v>0.25</v>
      </c>
      <c r="D12" s="93" t="n">
        <f aca="false">C12</f>
        <v>0.25</v>
      </c>
    </row>
    <row r="13" customFormat="false" ht="15" hidden="false" customHeight="false" outlineLevel="0" collapsed="false">
      <c r="A13" s="89"/>
      <c r="B13" s="89"/>
      <c r="C13" s="89"/>
      <c r="D13" s="89"/>
    </row>
    <row r="14" customFormat="false" ht="15" hidden="false" customHeight="false" outlineLevel="0" collapsed="false">
      <c r="A14" s="89"/>
      <c r="B14" s="89"/>
      <c r="C14" s="89"/>
      <c r="D14" s="89"/>
    </row>
    <row r="15" customFormat="false" ht="19.5" hidden="false" customHeight="true" outlineLevel="0" collapsed="false">
      <c r="A15" s="14" t="s">
        <v>32</v>
      </c>
      <c r="B15" s="15"/>
      <c r="C15" s="15"/>
      <c r="D15" s="15"/>
    </row>
    <row r="16" customFormat="false" ht="15" hidden="false" customHeight="false" outlineLevel="0" collapsed="false">
      <c r="A16" s="4" t="s">
        <v>130</v>
      </c>
      <c r="B16" s="94" t="n">
        <f aca="false">B6*B7</f>
        <v>50000</v>
      </c>
      <c r="C16" s="89"/>
      <c r="D16" s="94" t="n">
        <f aca="false">D6*D7</f>
        <v>57750</v>
      </c>
    </row>
    <row r="17" customFormat="false" ht="15" hidden="false" customHeight="false" outlineLevel="0" collapsed="false">
      <c r="A17" s="4" t="s">
        <v>316</v>
      </c>
      <c r="B17" s="17" t="n">
        <f aca="false">B6*B8</f>
        <v>30000</v>
      </c>
      <c r="C17" s="89"/>
      <c r="D17" s="17" t="n">
        <f aca="false">D6*D8</f>
        <v>34650</v>
      </c>
    </row>
    <row r="18" customFormat="false" ht="15" hidden="false" customHeight="false" outlineLevel="0" collapsed="false">
      <c r="A18" s="4" t="s">
        <v>317</v>
      </c>
      <c r="B18" s="17" t="n">
        <f aca="false">B9</f>
        <v>10000</v>
      </c>
      <c r="C18" s="89"/>
      <c r="D18" s="94" t="n">
        <f aca="false">D9</f>
        <v>10500</v>
      </c>
    </row>
    <row r="19" customFormat="false" ht="15" hidden="false" customHeight="false" outlineLevel="0" collapsed="false">
      <c r="A19" s="4" t="s">
        <v>39</v>
      </c>
      <c r="B19" s="17" t="n">
        <f aca="false">B16-B17-B18</f>
        <v>10000</v>
      </c>
      <c r="C19" s="89"/>
      <c r="D19" s="17" t="n">
        <f aca="false">D16-D17-D18</f>
        <v>12600</v>
      </c>
    </row>
    <row r="20" customFormat="false" ht="15" hidden="false" customHeight="false" outlineLevel="0" collapsed="false">
      <c r="A20" s="4" t="s">
        <v>87</v>
      </c>
      <c r="B20" s="17" t="n">
        <f aca="false">B10</f>
        <v>2000</v>
      </c>
      <c r="C20" s="89"/>
      <c r="D20" s="17" t="n">
        <f aca="false">D10</f>
        <v>2000</v>
      </c>
    </row>
    <row r="21" customFormat="false" ht="15" hidden="false" customHeight="false" outlineLevel="0" collapsed="false">
      <c r="A21" s="4" t="s">
        <v>42</v>
      </c>
      <c r="B21" s="17" t="n">
        <f aca="false">B19-B20</f>
        <v>8000</v>
      </c>
      <c r="C21" s="89"/>
      <c r="D21" s="17" t="n">
        <f aca="false">D19-D20</f>
        <v>10600</v>
      </c>
    </row>
    <row r="22" customFormat="false" ht="15" hidden="false" customHeight="false" outlineLevel="0" collapsed="false">
      <c r="A22" s="4" t="s">
        <v>318</v>
      </c>
      <c r="B22" s="17" t="n">
        <f aca="false">B11</f>
        <v>1000</v>
      </c>
      <c r="C22" s="89"/>
      <c r="D22" s="17" t="n">
        <f aca="false">D11</f>
        <v>1000</v>
      </c>
    </row>
    <row r="23" customFormat="false" ht="15" hidden="false" customHeight="false" outlineLevel="0" collapsed="false">
      <c r="A23" s="4" t="s">
        <v>319</v>
      </c>
      <c r="B23" s="17" t="n">
        <f aca="false">B21-B22</f>
        <v>7000</v>
      </c>
      <c r="C23" s="89"/>
      <c r="D23" s="17" t="n">
        <f aca="false">D21-D22</f>
        <v>9600</v>
      </c>
    </row>
    <row r="24" customFormat="false" ht="15" hidden="false" customHeight="false" outlineLevel="0" collapsed="false">
      <c r="A24" s="4" t="s">
        <v>48</v>
      </c>
      <c r="B24" s="17" t="n">
        <f aca="false">B23*B12</f>
        <v>1750</v>
      </c>
      <c r="C24" s="89"/>
      <c r="D24" s="17" t="n">
        <f aca="false">D23*D12</f>
        <v>2400</v>
      </c>
    </row>
    <row r="25" customFormat="false" ht="15" hidden="false" customHeight="false" outlineLevel="0" collapsed="false">
      <c r="A25" s="4" t="s">
        <v>320</v>
      </c>
      <c r="B25" s="17" t="n">
        <f aca="false">B23-B24</f>
        <v>5250</v>
      </c>
      <c r="C25" s="89"/>
      <c r="D25" s="17" t="n">
        <f aca="false">D23-D24</f>
        <v>7200</v>
      </c>
    </row>
    <row r="26" customFormat="false" ht="15" hidden="false" customHeight="false" outlineLevel="0" collapsed="false">
      <c r="A26" s="89"/>
      <c r="B26" s="89"/>
      <c r="C26" s="89"/>
      <c r="D26" s="89"/>
    </row>
    <row r="27" customFormat="false" ht="15" hidden="false" customHeight="false" outlineLevel="0" collapsed="false">
      <c r="A27" s="89"/>
      <c r="B27" s="89"/>
      <c r="C27" s="89"/>
      <c r="D27" s="89"/>
    </row>
    <row r="28" customFormat="false" ht="19.5" hidden="false" customHeight="true" outlineLevel="0" collapsed="false">
      <c r="A28" s="14" t="s">
        <v>321</v>
      </c>
      <c r="B28" s="15"/>
      <c r="C28" s="15"/>
      <c r="D28" s="15"/>
    </row>
    <row r="29" customFormat="false" ht="15" hidden="false" customHeight="false" outlineLevel="0" collapsed="false">
      <c r="A29" s="4" t="s">
        <v>322</v>
      </c>
      <c r="B29" s="17" t="n">
        <f aca="false">B16*C29</f>
        <v>5000</v>
      </c>
      <c r="C29" s="45" t="n">
        <v>0.1</v>
      </c>
      <c r="D29" s="17" t="n">
        <f aca="false">D16*C29</f>
        <v>5775</v>
      </c>
    </row>
    <row r="30" customFormat="false" ht="15" hidden="false" customHeight="false" outlineLevel="0" collapsed="false">
      <c r="A30" s="4" t="s">
        <v>94</v>
      </c>
      <c r="B30" s="17" t="n">
        <f aca="false">B17*C30</f>
        <v>1500</v>
      </c>
      <c r="C30" s="45" t="n">
        <v>0.05</v>
      </c>
      <c r="D30" s="17" t="n">
        <f aca="false">D17*C30</f>
        <v>1732.5</v>
      </c>
    </row>
    <row r="31" customFormat="false" ht="15" hidden="false" customHeight="false" outlineLevel="0" collapsed="false">
      <c r="A31" s="4" t="s">
        <v>323</v>
      </c>
      <c r="B31" s="17" t="n">
        <f aca="false">B17*C31</f>
        <v>2400</v>
      </c>
      <c r="C31" s="45" t="n">
        <v>0.08</v>
      </c>
      <c r="D31" s="17" t="n">
        <f aca="false">D17*C31</f>
        <v>2772</v>
      </c>
    </row>
    <row r="32" customFormat="false" ht="15" hidden="false" customHeight="false" outlineLevel="0" collapsed="false">
      <c r="A32" s="4" t="s">
        <v>132</v>
      </c>
      <c r="B32" s="94" t="n">
        <f aca="false">B29+B30-B31</f>
        <v>4100</v>
      </c>
      <c r="C32" s="89"/>
      <c r="D32" s="94" t="n">
        <f aca="false">D29+D30-D31</f>
        <v>4735.5</v>
      </c>
    </row>
    <row r="33" customFormat="false" ht="15" hidden="false" customHeight="false" outlineLevel="0" collapsed="false">
      <c r="A33" s="4" t="s">
        <v>133</v>
      </c>
      <c r="B33" s="89"/>
      <c r="C33" s="89"/>
      <c r="D33" s="17" t="n">
        <f aca="false">D32-B32</f>
        <v>635.5</v>
      </c>
    </row>
    <row r="34" customFormat="false" ht="15" hidden="false" customHeight="false" outlineLevel="0" collapsed="false">
      <c r="A34" s="89"/>
      <c r="B34" s="89"/>
      <c r="C34" s="89"/>
      <c r="D34" s="89"/>
    </row>
    <row r="35" customFormat="false" ht="15" hidden="false" customHeight="false" outlineLevel="0" collapsed="false">
      <c r="A35" s="89"/>
      <c r="B35" s="89"/>
      <c r="C35" s="89"/>
      <c r="D35" s="89"/>
    </row>
    <row r="36" customFormat="false" ht="19.5" hidden="false" customHeight="true" outlineLevel="0" collapsed="false">
      <c r="A36" s="14" t="s">
        <v>324</v>
      </c>
      <c r="B36" s="15"/>
      <c r="C36" s="15"/>
      <c r="D36" s="15"/>
    </row>
    <row r="37" customFormat="false" ht="15" hidden="false" customHeight="false" outlineLevel="0" collapsed="false">
      <c r="A37" s="4" t="s">
        <v>320</v>
      </c>
      <c r="B37" s="89"/>
      <c r="C37" s="89"/>
      <c r="D37" s="17" t="n">
        <f aca="false">D25</f>
        <v>7200</v>
      </c>
    </row>
    <row r="38" customFormat="false" ht="15" hidden="false" customHeight="false" outlineLevel="0" collapsed="false">
      <c r="A38" s="4" t="s">
        <v>87</v>
      </c>
      <c r="B38" s="89"/>
      <c r="C38" s="89"/>
      <c r="D38" s="17" t="n">
        <f aca="false">D20</f>
        <v>2000</v>
      </c>
    </row>
    <row r="39" customFormat="false" ht="15" hidden="false" customHeight="false" outlineLevel="0" collapsed="false">
      <c r="A39" s="4" t="s">
        <v>133</v>
      </c>
      <c r="B39" s="89"/>
      <c r="C39" s="89"/>
      <c r="D39" s="17" t="n">
        <f aca="false">-D33</f>
        <v>-635.5</v>
      </c>
    </row>
    <row r="40" customFormat="false" ht="15" hidden="false" customHeight="false" outlineLevel="0" collapsed="false">
      <c r="A40" s="4" t="s">
        <v>325</v>
      </c>
      <c r="B40" s="89"/>
      <c r="C40" s="89"/>
      <c r="D40" s="17" t="n">
        <f aca="false">D37+D38+D39</f>
        <v>8564.5</v>
      </c>
    </row>
    <row r="41" customFormat="false" ht="15" hidden="false" customHeight="false" outlineLevel="0" collapsed="false">
      <c r="A41" s="4" t="s">
        <v>113</v>
      </c>
      <c r="B41" s="89"/>
      <c r="C41" s="95" t="n">
        <f aca="false">3000</f>
        <v>3000</v>
      </c>
      <c r="D41" s="17" t="n">
        <f aca="false">-C41</f>
        <v>-3000</v>
      </c>
    </row>
    <row r="42" customFormat="false" ht="15" hidden="false" customHeight="false" outlineLevel="0" collapsed="false">
      <c r="A42" s="4" t="s">
        <v>326</v>
      </c>
      <c r="B42" s="89"/>
      <c r="C42" s="89"/>
      <c r="D42" s="17" t="n">
        <f aca="false">D41</f>
        <v>-3000</v>
      </c>
    </row>
    <row r="43" customFormat="false" ht="15" hidden="false" customHeight="false" outlineLevel="0" collapsed="false">
      <c r="A43" s="4" t="s">
        <v>327</v>
      </c>
      <c r="B43" s="89"/>
      <c r="C43" s="96" t="n">
        <v>1000</v>
      </c>
      <c r="D43" s="17" t="n">
        <f aca="false">C43</f>
        <v>1000</v>
      </c>
    </row>
    <row r="44" customFormat="false" ht="15" hidden="false" customHeight="false" outlineLevel="0" collapsed="false">
      <c r="A44" s="4" t="s">
        <v>328</v>
      </c>
      <c r="B44" s="89"/>
      <c r="C44" s="89"/>
      <c r="D44" s="17" t="n">
        <f aca="false">D43</f>
        <v>1000</v>
      </c>
    </row>
    <row r="45" customFormat="false" ht="15" hidden="false" customHeight="false" outlineLevel="0" collapsed="false">
      <c r="A45" s="4" t="s">
        <v>117</v>
      </c>
      <c r="B45" s="89"/>
      <c r="C45" s="89"/>
      <c r="D45" s="17" t="n">
        <f aca="false">D40+D42+D44</f>
        <v>6564.5</v>
      </c>
    </row>
    <row r="46" customFormat="false" ht="15" hidden="false" customHeight="false" outlineLevel="0" collapsed="false">
      <c r="A46" s="4" t="s">
        <v>118</v>
      </c>
      <c r="B46" s="89"/>
      <c r="C46" s="96" t="n">
        <v>10000</v>
      </c>
      <c r="D46" s="89"/>
    </row>
    <row r="47" customFormat="false" ht="15" hidden="false" customHeight="false" outlineLevel="0" collapsed="false">
      <c r="A47" s="4" t="s">
        <v>119</v>
      </c>
      <c r="B47" s="89"/>
      <c r="C47" s="89"/>
      <c r="D47" s="17" t="n">
        <f aca="false">C46+D45</f>
        <v>16564.5</v>
      </c>
    </row>
    <row r="48" customFormat="false" ht="15" hidden="false" customHeight="false" outlineLevel="0" collapsed="false">
      <c r="A48" s="89"/>
      <c r="B48" s="89"/>
      <c r="C48" s="89"/>
      <c r="D48" s="89"/>
    </row>
    <row r="49" customFormat="false" ht="15" hidden="false" customHeight="false" outlineLevel="0" collapsed="false">
      <c r="A49" s="89"/>
      <c r="B49" s="89"/>
      <c r="C49" s="89"/>
      <c r="D49" s="89"/>
    </row>
    <row r="50" customFormat="false" ht="19.5" hidden="false" customHeight="true" outlineLevel="0" collapsed="false">
      <c r="A50" s="14" t="s">
        <v>329</v>
      </c>
      <c r="B50" s="15"/>
      <c r="C50" s="15"/>
      <c r="D50" s="15"/>
    </row>
    <row r="51" customFormat="false" ht="15" hidden="false" customHeight="false" outlineLevel="0" collapsed="false">
      <c r="A51" s="4" t="s">
        <v>145</v>
      </c>
      <c r="B51" s="16" t="n">
        <v>10000</v>
      </c>
      <c r="C51" s="89"/>
      <c r="D51" s="17" t="n">
        <f aca="false">D47</f>
        <v>16564.5</v>
      </c>
    </row>
    <row r="52" customFormat="false" ht="15" hidden="false" customHeight="false" outlineLevel="0" collapsed="false">
      <c r="A52" s="4" t="s">
        <v>322</v>
      </c>
      <c r="B52" s="16" t="n">
        <v>5000</v>
      </c>
      <c r="C52" s="89"/>
      <c r="D52" s="17" t="n">
        <f aca="false">D29</f>
        <v>5775</v>
      </c>
    </row>
    <row r="53" customFormat="false" ht="15" hidden="false" customHeight="false" outlineLevel="0" collapsed="false">
      <c r="A53" s="4" t="s">
        <v>94</v>
      </c>
      <c r="B53" s="16" t="n">
        <v>1500</v>
      </c>
      <c r="C53" s="89"/>
      <c r="D53" s="17" t="n">
        <f aca="false">D30</f>
        <v>1732.5</v>
      </c>
    </row>
    <row r="54" customFormat="false" ht="15" hidden="false" customHeight="false" outlineLevel="0" collapsed="false">
      <c r="A54" s="4" t="s">
        <v>330</v>
      </c>
      <c r="B54" s="16" t="n">
        <v>20000</v>
      </c>
      <c r="C54" s="89"/>
      <c r="D54" s="17" t="n">
        <f aca="false">B54+$C$41-D20</f>
        <v>21000</v>
      </c>
    </row>
    <row r="55" customFormat="false" ht="15" hidden="false" customHeight="false" outlineLevel="0" collapsed="false">
      <c r="A55" s="4" t="s">
        <v>97</v>
      </c>
      <c r="B55" s="17" t="n">
        <f aca="false">B51+B52+B53+B54</f>
        <v>36500</v>
      </c>
      <c r="C55" s="89"/>
      <c r="D55" s="17" t="n">
        <f aca="false">D51+D52+D53+D54</f>
        <v>45072</v>
      </c>
    </row>
    <row r="56" customFormat="false" ht="15" hidden="false" customHeight="false" outlineLevel="0" collapsed="false">
      <c r="A56" s="89"/>
      <c r="B56" s="89"/>
      <c r="C56" s="89"/>
      <c r="D56" s="89"/>
    </row>
    <row r="57" customFormat="false" ht="15" hidden="false" customHeight="false" outlineLevel="0" collapsed="false">
      <c r="A57" s="4" t="s">
        <v>323</v>
      </c>
      <c r="B57" s="16" t="n">
        <v>2400</v>
      </c>
      <c r="C57" s="89"/>
      <c r="D57" s="17" t="n">
        <f aca="false">D31</f>
        <v>2772</v>
      </c>
    </row>
    <row r="58" customFormat="false" ht="15" hidden="false" customHeight="false" outlineLevel="0" collapsed="false">
      <c r="A58" s="4" t="s">
        <v>331</v>
      </c>
      <c r="B58" s="16" t="n">
        <v>5000</v>
      </c>
      <c r="C58" s="89"/>
      <c r="D58" s="17" t="n">
        <f aca="false">B58+D43</f>
        <v>6000</v>
      </c>
    </row>
    <row r="59" customFormat="false" ht="15" hidden="false" customHeight="false" outlineLevel="0" collapsed="false">
      <c r="A59" s="4" t="s">
        <v>332</v>
      </c>
      <c r="B59" s="16" t="n">
        <v>24100</v>
      </c>
      <c r="C59" s="89"/>
      <c r="D59" s="17" t="n">
        <f aca="false">B59</f>
        <v>24100</v>
      </c>
    </row>
    <row r="60" customFormat="false" ht="15" hidden="false" customHeight="false" outlineLevel="0" collapsed="false">
      <c r="A60" s="4" t="s">
        <v>333</v>
      </c>
      <c r="B60" s="16" t="n">
        <v>5000</v>
      </c>
      <c r="C60" s="89"/>
      <c r="D60" s="17" t="n">
        <f aca="false">B60+D25</f>
        <v>12200</v>
      </c>
    </row>
    <row r="61" customFormat="false" ht="15" hidden="false" customHeight="false" outlineLevel="0" collapsed="false">
      <c r="A61" s="4" t="s">
        <v>107</v>
      </c>
      <c r="B61" s="17" t="n">
        <f aca="false">B57+B58+B59+B60</f>
        <v>36500</v>
      </c>
      <c r="C61" s="89"/>
      <c r="D61" s="17" t="n">
        <f aca="false">D57+D58+D59+D60</f>
        <v>45072</v>
      </c>
    </row>
    <row r="62" customFormat="false" ht="15" hidden="false" customHeight="false" outlineLevel="0" collapsed="false">
      <c r="A62" s="89"/>
      <c r="B62" s="89"/>
      <c r="C62" s="89"/>
      <c r="D62" s="89"/>
    </row>
    <row r="63" customFormat="false" ht="15" hidden="false" customHeight="false" outlineLevel="0" collapsed="false">
      <c r="A63" s="3" t="s">
        <v>108</v>
      </c>
      <c r="B63" s="95" t="n">
        <f aca="false">B55-B61</f>
        <v>0</v>
      </c>
      <c r="C63" s="89"/>
      <c r="D63" s="95" t="str">
        <f aca="false">IF(ABS(D55-D61)&lt;0.1,"OK","ERROR")</f>
        <v>OK</v>
      </c>
    </row>
  </sheetData>
  <printOptions headings="false" gridLines="false" gridLinesSet="true" horizontalCentered="true" verticalCentered="false"/>
  <pageMargins left="0.3" right="0.3" top="0.5" bottom="0.5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2026-09-09T13:48:33Z</dcterms:created>
  <dc:creator>Rahul</dc:creator>
  <dc:description/>
  <dc:language>en-US</dc:language>
  <cp:lastModifiedBy>Rahul Solanki</cp:lastModifiedBy>
  <dcterms:modified xsi:type="dcterms:W3CDTF">2026-09-13T13:12:20Z</dcterms:modified>
  <cp:revision>0</cp:revision>
  <dc:subject>Integrated financial model, DCF valuation, sensitivity analysis and QA</dc:subject>
  <dc:title>UltraTech Cement — Company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